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istrator\Desktop\数据分析实战作品集\"/>
    </mc:Choice>
  </mc:AlternateContent>
  <xr:revisionPtr revIDLastSave="0" documentId="13_ncr:1_{93AC2D35-9B27-4577-BF2F-94AF07794395}" xr6:coauthVersionLast="47" xr6:coauthVersionMax="47" xr10:uidLastSave="{00000000-0000-0000-0000-000000000000}"/>
  <bookViews>
    <workbookView xWindow="-108" yWindow="-108" windowWidth="23256" windowHeight="12576" tabRatio="931" firstSheet="1" activeTab="3" xr2:uid="{00000000-000D-0000-FFFF-FFFF00000000}"/>
  </bookViews>
  <sheets>
    <sheet name="多维度数据透视分析" sheetId="11" r:id="rId1"/>
    <sheet name="经营看板" sheetId="14" r:id="rId2"/>
    <sheet name="全学员总表" sheetId="7" r:id="rId3"/>
    <sheet name="年度月度经营汇总表" sheetId="13" r:id="rId4"/>
    <sheet name="学生情况报表" sheetId="6" r:id="rId5"/>
    <sheet name="学生基本信息" sheetId="1" r:id="rId6"/>
    <sheet name="续费情况" sheetId="5" r:id="rId7"/>
    <sheet name="学生考级成绩" sheetId="2" r:id="rId8"/>
    <sheet name="2025全国青少年信息素养大赛" sheetId="3" r:id="rId9"/>
    <sheet name="全国青少年人工智能创新挑战赛" sheetId="4" r:id="rId10"/>
  </sheets>
  <definedNames>
    <definedName name="_xlnm._FilterDatabase" localSheetId="8" hidden="1">'2025全国青少年信息素养大赛'!$B$1:$H$1</definedName>
    <definedName name="_xlnm._FilterDatabase" localSheetId="9" hidden="1">全国青少年人工智能创新挑战赛!$C$1:$G$1</definedName>
    <definedName name="_xlnm._FilterDatabase" localSheetId="6" hidden="1">续费情况!$A$1:$V$1</definedName>
    <definedName name="_xlnm._FilterDatabase" localSheetId="5" hidden="1">学生基本信息!$A$1:$F$1</definedName>
    <definedName name="_xlnm._FilterDatabase" localSheetId="7" hidden="1">学生考级成绩!$A$1:$F$1</definedName>
  </definedNames>
  <calcPr calcId="191029"/>
  <pivotCaches>
    <pivotCache cacheId="0" r:id="rId11"/>
    <pivotCache cacheId="1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7" l="1"/>
  <c r="U4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2" i="7"/>
  <c r="H3" i="13"/>
  <c r="H4" i="13"/>
  <c r="H5" i="13"/>
  <c r="H6" i="13"/>
  <c r="H7" i="13"/>
  <c r="H8" i="13"/>
  <c r="H9" i="13"/>
  <c r="H10" i="13"/>
  <c r="H11" i="13"/>
  <c r="H12" i="13"/>
  <c r="H13" i="13"/>
  <c r="H14" i="13"/>
  <c r="H15" i="13"/>
  <c r="G3" i="13" a="1"/>
  <c r="G3" i="13" s="1"/>
  <c r="G4" i="13" a="1"/>
  <c r="G4" i="13" s="1"/>
  <c r="G5" i="13" a="1"/>
  <c r="G5" i="13" s="1"/>
  <c r="G6" i="13" a="1"/>
  <c r="G6" i="13" s="1"/>
  <c r="G7" i="13" a="1"/>
  <c r="G7" i="13" s="1"/>
  <c r="G8" i="13" a="1"/>
  <c r="G8" i="13" s="1"/>
  <c r="G9" i="13" a="1"/>
  <c r="G9" i="13" s="1"/>
  <c r="G10" i="13" a="1"/>
  <c r="G10" i="13" s="1"/>
  <c r="G11" i="13" a="1"/>
  <c r="G11" i="13" s="1"/>
  <c r="G12" i="13" a="1"/>
  <c r="G12" i="13" s="1"/>
  <c r="G13" i="13" a="1"/>
  <c r="G13" i="13" s="1"/>
  <c r="G14" i="13" a="1"/>
  <c r="G14" i="13" s="1"/>
  <c r="G15" i="13" a="1"/>
  <c r="G15" i="13" s="1"/>
  <c r="G16" i="13" a="1"/>
  <c r="G16" i="13" s="1"/>
  <c r="G17" i="13" a="1"/>
  <c r="G17" i="13" s="1"/>
  <c r="G18" i="13" a="1"/>
  <c r="G18" i="13" s="1"/>
  <c r="G2" i="13" a="1"/>
  <c r="G2" i="13" s="1"/>
  <c r="F3" i="13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2" i="13"/>
  <c r="D3" i="13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2" i="13"/>
  <c r="C3" i="13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2" i="13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2" i="5"/>
  <c r="I2" i="7"/>
  <c r="D9" i="6"/>
  <c r="F9" i="6"/>
  <c r="A14" i="6" a="1"/>
  <c r="A14" i="6" s="1"/>
  <c r="J9" i="6"/>
  <c r="H9" i="6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" i="7"/>
  <c r="T2" i="7"/>
  <c r="R6" i="7"/>
  <c r="S6" i="7" s="1"/>
  <c r="D5" i="7"/>
  <c r="Q5" i="7" s="1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2" i="7"/>
  <c r="L2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2" i="7"/>
  <c r="J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H26" i="7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2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" i="5"/>
  <c r="Q2" i="5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2" i="7"/>
  <c r="B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D3" i="7"/>
  <c r="Q3" i="7" s="1"/>
  <c r="D4" i="7"/>
  <c r="Q4" i="7" s="1"/>
  <c r="D6" i="7"/>
  <c r="Q6" i="7" s="1"/>
  <c r="D7" i="7"/>
  <c r="Q7" i="7" s="1"/>
  <c r="D8" i="7"/>
  <c r="Q8" i="7" s="1"/>
  <c r="D9" i="7"/>
  <c r="Q9" i="7" s="1"/>
  <c r="D10" i="7"/>
  <c r="Q10" i="7" s="1"/>
  <c r="D11" i="7"/>
  <c r="Q11" i="7" s="1"/>
  <c r="D12" i="7"/>
  <c r="Q12" i="7" s="1"/>
  <c r="D13" i="7"/>
  <c r="Q13" i="7" s="1"/>
  <c r="D14" i="7"/>
  <c r="Q14" i="7" s="1"/>
  <c r="D15" i="7"/>
  <c r="Q15" i="7" s="1"/>
  <c r="D16" i="7"/>
  <c r="Q16" i="7" s="1"/>
  <c r="D17" i="7"/>
  <c r="Q17" i="7" s="1"/>
  <c r="D18" i="7"/>
  <c r="Q18" i="7" s="1"/>
  <c r="D19" i="7"/>
  <c r="Q19" i="7" s="1"/>
  <c r="D20" i="7"/>
  <c r="Q20" i="7" s="1"/>
  <c r="D21" i="7"/>
  <c r="Q21" i="7" s="1"/>
  <c r="D22" i="7"/>
  <c r="Q22" i="7" s="1"/>
  <c r="D23" i="7"/>
  <c r="Q23" i="7" s="1"/>
  <c r="D24" i="7"/>
  <c r="Q24" i="7" s="1"/>
  <c r="D25" i="7"/>
  <c r="Q25" i="7" s="1"/>
  <c r="D26" i="7"/>
  <c r="Q26" i="7" s="1"/>
  <c r="D27" i="7"/>
  <c r="Q27" i="7" s="1"/>
  <c r="D28" i="7"/>
  <c r="Q28" i="7" s="1"/>
  <c r="D29" i="7"/>
  <c r="Q29" i="7" s="1"/>
  <c r="D30" i="7"/>
  <c r="Q30" i="7" s="1"/>
  <c r="D31" i="7"/>
  <c r="Q31" i="7" s="1"/>
  <c r="D32" i="7"/>
  <c r="Q32" i="7" s="1"/>
  <c r="D33" i="7"/>
  <c r="Q33" i="7" s="1"/>
  <c r="D2" i="7"/>
  <c r="Q2" i="7" s="1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2" i="7"/>
  <c r="B31" i="6"/>
  <c r="N23" i="5"/>
  <c r="H23" i="7" s="1"/>
  <c r="N26" i="5"/>
  <c r="N29" i="5"/>
  <c r="I33" i="5"/>
  <c r="I32" i="5"/>
  <c r="I31" i="5"/>
  <c r="I30" i="5"/>
  <c r="I29" i="5"/>
  <c r="I28" i="5"/>
  <c r="I27" i="5"/>
  <c r="I26" i="5"/>
  <c r="I25" i="5"/>
  <c r="I24" i="5"/>
  <c r="I22" i="5"/>
  <c r="I21" i="5"/>
  <c r="I20" i="5"/>
  <c r="I19" i="5"/>
  <c r="I18" i="5"/>
  <c r="I17" i="5"/>
  <c r="I16" i="5"/>
  <c r="I15" i="5"/>
  <c r="I14" i="5"/>
  <c r="I12" i="5"/>
  <c r="I11" i="5"/>
  <c r="I10" i="5"/>
  <c r="I9" i="5"/>
  <c r="I8" i="5"/>
  <c r="I7" i="5"/>
  <c r="I4" i="5"/>
  <c r="I2" i="5"/>
  <c r="F4" i="1"/>
  <c r="F7" i="1"/>
  <c r="F8" i="1"/>
  <c r="F9" i="1"/>
  <c r="F10" i="1"/>
  <c r="F11" i="1"/>
  <c r="F12" i="1"/>
  <c r="F14" i="1"/>
  <c r="F15" i="1"/>
  <c r="F16" i="1"/>
  <c r="F17" i="1"/>
  <c r="F18" i="1"/>
  <c r="F19" i="1"/>
  <c r="F20" i="1"/>
  <c r="F21" i="1"/>
  <c r="F22" i="1"/>
  <c r="F24" i="1"/>
  <c r="F25" i="1"/>
  <c r="F26" i="1"/>
  <c r="F27" i="1"/>
  <c r="F28" i="1"/>
  <c r="F29" i="1"/>
  <c r="F30" i="1"/>
  <c r="F31" i="1"/>
  <c r="F32" i="1"/>
  <c r="F33" i="1"/>
  <c r="F2" i="1"/>
  <c r="A1" i="6"/>
  <c r="V33" i="5"/>
  <c r="V32" i="5"/>
  <c r="V31" i="5"/>
  <c r="V30" i="5"/>
  <c r="V29" i="5"/>
  <c r="V28" i="5"/>
  <c r="V27" i="5"/>
  <c r="V26" i="5"/>
  <c r="V25" i="5"/>
  <c r="V24" i="5"/>
  <c r="V23" i="5"/>
  <c r="V21" i="5"/>
  <c r="V20" i="5"/>
  <c r="V19" i="5"/>
  <c r="V14" i="5"/>
  <c r="V13" i="5"/>
  <c r="V12" i="5"/>
  <c r="R33" i="5"/>
  <c r="R32" i="5"/>
  <c r="R31" i="5"/>
  <c r="R30" i="5"/>
  <c r="R29" i="5"/>
  <c r="R28" i="5"/>
  <c r="R27" i="5"/>
  <c r="R26" i="5"/>
  <c r="R25" i="5"/>
  <c r="R24" i="5"/>
  <c r="R23" i="5"/>
  <c r="R21" i="5"/>
  <c r="R20" i="5"/>
  <c r="R19" i="5"/>
  <c r="R14" i="5"/>
  <c r="R13" i="5"/>
  <c r="R12" i="5"/>
  <c r="J4" i="5"/>
  <c r="J5" i="5"/>
  <c r="N5" i="5" s="1"/>
  <c r="H5" i="7" s="1"/>
  <c r="J6" i="5"/>
  <c r="N6" i="5" s="1"/>
  <c r="H6" i="7" s="1"/>
  <c r="J7" i="5"/>
  <c r="N7" i="5" s="1"/>
  <c r="H7" i="7" s="1"/>
  <c r="J8" i="5"/>
  <c r="N8" i="5" s="1"/>
  <c r="H8" i="7" s="1"/>
  <c r="J9" i="5"/>
  <c r="N9" i="5" s="1"/>
  <c r="H9" i="7" s="1"/>
  <c r="J10" i="5"/>
  <c r="N10" i="5" s="1"/>
  <c r="H10" i="7" s="1"/>
  <c r="J11" i="5"/>
  <c r="N11" i="5" s="1"/>
  <c r="H11" i="7" s="1"/>
  <c r="J12" i="5"/>
  <c r="N12" i="5" s="1"/>
  <c r="H12" i="7" s="1"/>
  <c r="J13" i="5"/>
  <c r="N13" i="5" s="1"/>
  <c r="H13" i="7" s="1"/>
  <c r="J14" i="5"/>
  <c r="N14" i="5" s="1"/>
  <c r="H14" i="7" s="1"/>
  <c r="J15" i="5"/>
  <c r="N15" i="5" s="1"/>
  <c r="H15" i="7" s="1"/>
  <c r="J16" i="5"/>
  <c r="N16" i="5" s="1"/>
  <c r="H16" i="7" s="1"/>
  <c r="J17" i="5"/>
  <c r="N17" i="5" s="1"/>
  <c r="H17" i="7" s="1"/>
  <c r="J18" i="5"/>
  <c r="N18" i="5" s="1"/>
  <c r="H18" i="7" s="1"/>
  <c r="J19" i="5"/>
  <c r="N19" i="5" s="1"/>
  <c r="H19" i="7" s="1"/>
  <c r="J20" i="5"/>
  <c r="N20" i="5" s="1"/>
  <c r="H20" i="7" s="1"/>
  <c r="J21" i="5"/>
  <c r="N21" i="5" s="1"/>
  <c r="H21" i="7" s="1"/>
  <c r="J22" i="5"/>
  <c r="N22" i="5" s="1"/>
  <c r="H22" i="7" s="1"/>
  <c r="J23" i="5"/>
  <c r="J24" i="5"/>
  <c r="N24" i="5" s="1"/>
  <c r="H24" i="7" s="1"/>
  <c r="J25" i="5"/>
  <c r="N25" i="5" s="1"/>
  <c r="H25" i="7" s="1"/>
  <c r="J26" i="5"/>
  <c r="J27" i="5"/>
  <c r="N27" i="5" s="1"/>
  <c r="H27" i="7" s="1"/>
  <c r="J28" i="5"/>
  <c r="N28" i="5" s="1"/>
  <c r="H28" i="7" s="1"/>
  <c r="J29" i="5"/>
  <c r="H29" i="7" s="1"/>
  <c r="J30" i="5"/>
  <c r="N30" i="5" s="1"/>
  <c r="H30" i="7" s="1"/>
  <c r="J31" i="5"/>
  <c r="N31" i="5" s="1"/>
  <c r="H31" i="7" s="1"/>
  <c r="J32" i="5"/>
  <c r="N32" i="5" s="1"/>
  <c r="H32" i="7" s="1"/>
  <c r="J33" i="5"/>
  <c r="N33" i="5" s="1"/>
  <c r="H33" i="7" s="1"/>
  <c r="J3" i="5"/>
  <c r="N3" i="5" s="1"/>
  <c r="H3" i="7" s="1"/>
  <c r="J2" i="5"/>
  <c r="N2" i="5" s="1"/>
  <c r="H2" i="7" s="1"/>
  <c r="W28" i="7" l="1"/>
  <c r="W20" i="7"/>
  <c r="W12" i="7"/>
  <c r="W4" i="7"/>
  <c r="P2" i="7"/>
  <c r="P26" i="7"/>
  <c r="P18" i="7"/>
  <c r="P10" i="7"/>
  <c r="N32" i="7"/>
  <c r="N24" i="7"/>
  <c r="N16" i="7"/>
  <c r="N8" i="7"/>
  <c r="W32" i="7"/>
  <c r="W24" i="7"/>
  <c r="W16" i="7"/>
  <c r="W8" i="7"/>
  <c r="P33" i="7"/>
  <c r="P25" i="7"/>
  <c r="P17" i="7"/>
  <c r="P9" i="7"/>
  <c r="N31" i="7"/>
  <c r="N23" i="7"/>
  <c r="N15" i="7"/>
  <c r="N7" i="7"/>
  <c r="W31" i="7"/>
  <c r="W23" i="7"/>
  <c r="W15" i="7"/>
  <c r="W7" i="7"/>
  <c r="P32" i="7"/>
  <c r="P24" i="7"/>
  <c r="P16" i="7"/>
  <c r="P8" i="7"/>
  <c r="P31" i="7"/>
  <c r="P23" i="7"/>
  <c r="P15" i="7"/>
  <c r="P7" i="7"/>
  <c r="P30" i="7"/>
  <c r="P22" i="7"/>
  <c r="P14" i="7"/>
  <c r="P6" i="7"/>
  <c r="P29" i="7"/>
  <c r="P21" i="7"/>
  <c r="P13" i="7"/>
  <c r="P5" i="7"/>
  <c r="P28" i="7"/>
  <c r="P20" i="7"/>
  <c r="P12" i="7"/>
  <c r="P4" i="7"/>
  <c r="V26" i="7"/>
  <c r="V18" i="7"/>
  <c r="V10" i="7"/>
  <c r="W26" i="7"/>
  <c r="W18" i="7"/>
  <c r="W10" i="7"/>
  <c r="W2" i="7"/>
  <c r="P27" i="7"/>
  <c r="P19" i="7"/>
  <c r="P11" i="7"/>
  <c r="P3" i="7"/>
  <c r="V33" i="7"/>
  <c r="V25" i="7"/>
  <c r="V17" i="7"/>
  <c r="V9" i="7"/>
  <c r="W33" i="7"/>
  <c r="W25" i="7"/>
  <c r="W17" i="7"/>
  <c r="W9" i="7"/>
  <c r="N29" i="7"/>
  <c r="N21" i="7"/>
  <c r="N13" i="7"/>
  <c r="N5" i="7"/>
  <c r="W29" i="7"/>
  <c r="W21" i="7"/>
  <c r="W13" i="7"/>
  <c r="W5" i="7"/>
  <c r="N27" i="7"/>
  <c r="N19" i="7"/>
  <c r="N11" i="7"/>
  <c r="N3" i="7"/>
  <c r="W27" i="7"/>
  <c r="W19" i="7"/>
  <c r="W11" i="7"/>
  <c r="W3" i="7"/>
  <c r="B9" i="6"/>
  <c r="N30" i="7"/>
  <c r="N22" i="7"/>
  <c r="N14" i="7"/>
  <c r="N6" i="7"/>
  <c r="W30" i="7"/>
  <c r="W22" i="7"/>
  <c r="W14" i="7"/>
  <c r="W6" i="7"/>
  <c r="V27" i="7"/>
  <c r="V19" i="7"/>
  <c r="V11" i="7"/>
  <c r="V3" i="7"/>
  <c r="V32" i="7"/>
  <c r="V24" i="7"/>
  <c r="V16" i="7"/>
  <c r="V8" i="7"/>
  <c r="V31" i="7"/>
  <c r="V23" i="7"/>
  <c r="V15" i="7"/>
  <c r="V7" i="7"/>
  <c r="N26" i="7"/>
  <c r="N18" i="7"/>
  <c r="N10" i="7"/>
  <c r="N33" i="7"/>
  <c r="N25" i="7"/>
  <c r="N17" i="7"/>
  <c r="N9" i="7"/>
  <c r="N28" i="7"/>
  <c r="N20" i="7"/>
  <c r="N12" i="7"/>
  <c r="N4" i="7"/>
  <c r="V30" i="7"/>
  <c r="V22" i="7"/>
  <c r="V14" i="7"/>
  <c r="V6" i="7"/>
  <c r="V29" i="7"/>
  <c r="V21" i="7"/>
  <c r="V13" i="7"/>
  <c r="V5" i="7"/>
  <c r="V28" i="7"/>
  <c r="V20" i="7"/>
  <c r="V12" i="7"/>
  <c r="V4" i="7"/>
  <c r="V2" i="7"/>
  <c r="N2" i="7"/>
  <c r="G14" i="7"/>
  <c r="Z14" i="7" s="1"/>
  <c r="G30" i="7"/>
  <c r="Z30" i="7" s="1"/>
  <c r="G22" i="7"/>
  <c r="Z22" i="7" s="1"/>
  <c r="G6" i="7"/>
  <c r="Z6" i="7" s="1"/>
  <c r="G29" i="7"/>
  <c r="Z29" i="7" s="1"/>
  <c r="G21" i="7"/>
  <c r="Z21" i="7" s="1"/>
  <c r="G13" i="7"/>
  <c r="Z13" i="7" s="1"/>
  <c r="G5" i="7"/>
  <c r="Z5" i="7" s="1"/>
  <c r="R20" i="7"/>
  <c r="S20" i="7" s="1"/>
  <c r="R12" i="7"/>
  <c r="S12" i="7" s="1"/>
  <c r="R3" i="7"/>
  <c r="S3" i="7" s="1"/>
  <c r="R33" i="7"/>
  <c r="S33" i="7" s="1"/>
  <c r="R25" i="7"/>
  <c r="S25" i="7" s="1"/>
  <c r="R17" i="7"/>
  <c r="S17" i="7" s="1"/>
  <c r="R28" i="7"/>
  <c r="S28" i="7" s="1"/>
  <c r="R4" i="7"/>
  <c r="S4" i="7" s="1"/>
  <c r="R27" i="7"/>
  <c r="S27" i="7" s="1"/>
  <c r="R19" i="7"/>
  <c r="S19" i="7" s="1"/>
  <c r="R11" i="7"/>
  <c r="S11" i="7" s="1"/>
  <c r="R2" i="7"/>
  <c r="S2" i="7" s="1"/>
  <c r="R26" i="7"/>
  <c r="S26" i="7" s="1"/>
  <c r="R18" i="7"/>
  <c r="S18" i="7" s="1"/>
  <c r="R10" i="7"/>
  <c r="S10" i="7" s="1"/>
  <c r="R9" i="7"/>
  <c r="S9" i="7" s="1"/>
  <c r="G2" i="7"/>
  <c r="Z2" i="7" s="1"/>
  <c r="G27" i="7"/>
  <c r="Z27" i="7" s="1"/>
  <c r="G19" i="7"/>
  <c r="Z19" i="7" s="1"/>
  <c r="G11" i="7"/>
  <c r="Z11" i="7" s="1"/>
  <c r="G28" i="7"/>
  <c r="Z28" i="7" s="1"/>
  <c r="G20" i="7"/>
  <c r="Z20" i="7" s="1"/>
  <c r="G12" i="7"/>
  <c r="Z12" i="7" s="1"/>
  <c r="G4" i="7"/>
  <c r="Z4" i="7" s="1"/>
  <c r="G3" i="7"/>
  <c r="Z3" i="7" s="1"/>
  <c r="G26" i="7"/>
  <c r="Z26" i="7" s="1"/>
  <c r="G18" i="7"/>
  <c r="Z18" i="7" s="1"/>
  <c r="G10" i="7"/>
  <c r="Z10" i="7" s="1"/>
  <c r="R32" i="7"/>
  <c r="S32" i="7" s="1"/>
  <c r="R24" i="7"/>
  <c r="S24" i="7" s="1"/>
  <c r="R16" i="7"/>
  <c r="S16" i="7" s="1"/>
  <c r="R8" i="7"/>
  <c r="S8" i="7" s="1"/>
  <c r="G33" i="7"/>
  <c r="Z33" i="7" s="1"/>
  <c r="G25" i="7"/>
  <c r="Z25" i="7" s="1"/>
  <c r="G17" i="7"/>
  <c r="Z17" i="7" s="1"/>
  <c r="G9" i="7"/>
  <c r="Z9" i="7" s="1"/>
  <c r="R31" i="7"/>
  <c r="S31" i="7" s="1"/>
  <c r="R23" i="7"/>
  <c r="S23" i="7" s="1"/>
  <c r="R15" i="7"/>
  <c r="S15" i="7" s="1"/>
  <c r="R7" i="7"/>
  <c r="S7" i="7" s="1"/>
  <c r="G32" i="7"/>
  <c r="Z32" i="7" s="1"/>
  <c r="G24" i="7"/>
  <c r="Z24" i="7" s="1"/>
  <c r="G16" i="7"/>
  <c r="Z16" i="7" s="1"/>
  <c r="G8" i="7"/>
  <c r="Z8" i="7" s="1"/>
  <c r="R30" i="7"/>
  <c r="S30" i="7" s="1"/>
  <c r="G31" i="7"/>
  <c r="Z31" i="7" s="1"/>
  <c r="G23" i="7"/>
  <c r="Z23" i="7" s="1"/>
  <c r="G15" i="7"/>
  <c r="Z15" i="7" s="1"/>
  <c r="G7" i="7"/>
  <c r="Z7" i="7" s="1"/>
  <c r="R22" i="7"/>
  <c r="S22" i="7" s="1"/>
  <c r="R29" i="7"/>
  <c r="S29" i="7" s="1"/>
  <c r="R21" i="7"/>
  <c r="S21" i="7" s="1"/>
  <c r="R13" i="7"/>
  <c r="S13" i="7" s="1"/>
  <c r="R5" i="7"/>
  <c r="S5" i="7" s="1"/>
  <c r="R14" i="7"/>
  <c r="S14" i="7" s="1"/>
  <c r="B29" i="6"/>
  <c r="B22" i="6"/>
  <c r="B30" i="6"/>
  <c r="B25" i="6"/>
  <c r="B27" i="6"/>
  <c r="B23" i="6"/>
  <c r="B28" i="6"/>
  <c r="B24" i="6"/>
  <c r="B26" i="6"/>
  <c r="R18" i="5"/>
  <c r="V18" i="5" s="1"/>
  <c r="R2" i="5"/>
  <c r="R11" i="5"/>
  <c r="V11" i="5" s="1"/>
  <c r="R3" i="5"/>
  <c r="V3" i="5" s="1"/>
  <c r="R10" i="5"/>
  <c r="V10" i="5" s="1"/>
  <c r="R17" i="5"/>
  <c r="V17" i="5" s="1"/>
  <c r="R9" i="5"/>
  <c r="V9" i="5" s="1"/>
  <c r="R16" i="5"/>
  <c r="V16" i="5" s="1"/>
  <c r="R15" i="5"/>
  <c r="V15" i="5" s="1"/>
  <c r="R7" i="5"/>
  <c r="V7" i="5" s="1"/>
  <c r="R6" i="5"/>
  <c r="V6" i="5" s="1"/>
  <c r="R8" i="5"/>
  <c r="V8" i="5" s="1"/>
  <c r="R22" i="5"/>
  <c r="V22" i="5" s="1"/>
  <c r="R5" i="5"/>
  <c r="V5" i="5" s="1"/>
  <c r="N4" i="5"/>
  <c r="O14" i="7" l="1"/>
  <c r="O22" i="7"/>
  <c r="X30" i="7"/>
  <c r="Y30" i="7" s="1"/>
  <c r="O30" i="7"/>
  <c r="X26" i="7"/>
  <c r="Y26" i="7" s="1"/>
  <c r="X27" i="7"/>
  <c r="Y27" i="7" s="1"/>
  <c r="X14" i="7"/>
  <c r="Y14" i="7" s="1"/>
  <c r="X22" i="7"/>
  <c r="Y22" i="7" s="1"/>
  <c r="O6" i="7"/>
  <c r="X28" i="7"/>
  <c r="Y28" i="7" s="1"/>
  <c r="X9" i="7"/>
  <c r="Y9" i="7" s="1"/>
  <c r="X32" i="7"/>
  <c r="Y32" i="7" s="1"/>
  <c r="X20" i="7"/>
  <c r="Y20" i="7" s="1"/>
  <c r="X33" i="7"/>
  <c r="Y33" i="7" s="1"/>
  <c r="X7" i="7"/>
  <c r="Y7" i="7" s="1"/>
  <c r="X2" i="7"/>
  <c r="Y2" i="7" s="1"/>
  <c r="X3" i="7"/>
  <c r="Y3" i="7" s="1"/>
  <c r="X12" i="7"/>
  <c r="Y12" i="7" s="1"/>
  <c r="X13" i="7"/>
  <c r="Y13" i="7" s="1"/>
  <c r="O13" i="7"/>
  <c r="X29" i="7"/>
  <c r="Y29" i="7" s="1"/>
  <c r="O29" i="7"/>
  <c r="X6" i="7"/>
  <c r="Y6" i="7" s="1"/>
  <c r="X11" i="7"/>
  <c r="Y11" i="7" s="1"/>
  <c r="X21" i="7"/>
  <c r="Y21" i="7" s="1"/>
  <c r="O21" i="7"/>
  <c r="X8" i="7"/>
  <c r="Y8" i="7" s="1"/>
  <c r="X5" i="7"/>
  <c r="Y5" i="7" s="1"/>
  <c r="O5" i="7"/>
  <c r="X4" i="7"/>
  <c r="Y4" i="7" s="1"/>
  <c r="X15" i="7"/>
  <c r="Y15" i="7" s="1"/>
  <c r="O11" i="7"/>
  <c r="O27" i="7"/>
  <c r="X18" i="7"/>
  <c r="Y18" i="7" s="1"/>
  <c r="X16" i="7"/>
  <c r="Y16" i="7" s="1"/>
  <c r="X24" i="7"/>
  <c r="Y24" i="7" s="1"/>
  <c r="X31" i="7"/>
  <c r="Y31" i="7" s="1"/>
  <c r="X10" i="7"/>
  <c r="Y10" i="7" s="1"/>
  <c r="X25" i="7"/>
  <c r="Y25" i="7" s="1"/>
  <c r="O16" i="7"/>
  <c r="O8" i="7"/>
  <c r="O9" i="7"/>
  <c r="O3" i="7"/>
  <c r="O17" i="7"/>
  <c r="X17" i="7"/>
  <c r="Y17" i="7" s="1"/>
  <c r="O24" i="7"/>
  <c r="O25" i="7"/>
  <c r="O19" i="7"/>
  <c r="X19" i="7"/>
  <c r="Y19" i="7" s="1"/>
  <c r="O32" i="7"/>
  <c r="O33" i="7"/>
  <c r="O7" i="7"/>
  <c r="O4" i="7"/>
  <c r="O10" i="7"/>
  <c r="O15" i="7"/>
  <c r="O12" i="7"/>
  <c r="O18" i="7"/>
  <c r="X23" i="7"/>
  <c r="Y23" i="7" s="1"/>
  <c r="O23" i="7"/>
  <c r="O20" i="7"/>
  <c r="O26" i="7"/>
  <c r="O31" i="7"/>
  <c r="O28" i="7"/>
  <c r="O2" i="7"/>
  <c r="G13" i="6" s="1"/>
  <c r="V2" i="5"/>
  <c r="R4" i="5"/>
  <c r="H4" i="7"/>
  <c r="B7" i="6"/>
  <c r="G19" i="6" l="1"/>
  <c r="G16" i="6"/>
  <c r="G22" i="6" s="1"/>
  <c r="V4" i="5"/>
  <c r="F7" i="6"/>
  <c r="D7" i="6"/>
  <c r="B18" i="6" l="1"/>
  <c r="B20" i="6"/>
  <c r="B17" i="6"/>
  <c r="B19" i="6"/>
  <c r="B21" i="6"/>
  <c r="B16" i="6"/>
  <c r="B14" i="6"/>
  <c r="B15" i="6"/>
  <c r="H7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<sst xmlns="http://schemas.openxmlformats.org/spreadsheetml/2006/main" count="606" uniqueCount="172">
  <si>
    <t>学员 ID</t>
  </si>
  <si>
    <t>姓名</t>
  </si>
  <si>
    <t>报名月份</t>
  </si>
  <si>
    <t>陈宇轩</t>
    <phoneticPr fontId="2" type="noConversion"/>
  </si>
  <si>
    <t>王语桐</t>
    <phoneticPr fontId="2" type="noConversion"/>
  </si>
  <si>
    <t>张欣瑶</t>
    <phoneticPr fontId="2" type="noConversion"/>
  </si>
  <si>
    <t>周芷晴</t>
    <phoneticPr fontId="2" type="noConversion"/>
  </si>
  <si>
    <t>苏一诺</t>
    <phoneticPr fontId="2" type="noConversion"/>
  </si>
  <si>
    <t>吴嘉硕</t>
    <phoneticPr fontId="2" type="noConversion"/>
  </si>
  <si>
    <t>胡星朗</t>
    <phoneticPr fontId="2" type="noConversion"/>
  </si>
  <si>
    <t>李浩泽</t>
    <phoneticPr fontId="2" type="noConversion"/>
  </si>
  <si>
    <t>王梓航</t>
    <phoneticPr fontId="2" type="noConversion"/>
  </si>
  <si>
    <t>张锦程</t>
    <phoneticPr fontId="2" type="noConversion"/>
  </si>
  <si>
    <t>李若溪</t>
    <phoneticPr fontId="2" type="noConversion"/>
  </si>
  <si>
    <t>语言</t>
    <phoneticPr fontId="2" type="noConversion"/>
  </si>
  <si>
    <t>scratch</t>
    <phoneticPr fontId="2" type="noConversion"/>
  </si>
  <si>
    <t>Python</t>
    <phoneticPr fontId="2" type="noConversion"/>
  </si>
  <si>
    <t>c++</t>
    <phoneticPr fontId="2" type="noConversion"/>
  </si>
  <si>
    <t>张俊豪</t>
    <phoneticPr fontId="2" type="noConversion"/>
  </si>
  <si>
    <t>陶沐汐</t>
    <phoneticPr fontId="2" type="noConversion"/>
  </si>
  <si>
    <t>周思远</t>
    <phoneticPr fontId="2" type="noConversion"/>
  </si>
  <si>
    <t>郑博文</t>
    <phoneticPr fontId="2" type="noConversion"/>
  </si>
  <si>
    <t>骆思玥</t>
    <phoneticPr fontId="2" type="noConversion"/>
  </si>
  <si>
    <t>黄奕凡</t>
    <phoneticPr fontId="2" type="noConversion"/>
  </si>
  <si>
    <t>孙靖宇</t>
    <phoneticPr fontId="2" type="noConversion"/>
  </si>
  <si>
    <t>马睿辰</t>
    <phoneticPr fontId="2" type="noConversion"/>
  </si>
  <si>
    <t>刘梓萱</t>
    <phoneticPr fontId="2" type="noConversion"/>
  </si>
  <si>
    <t>朱泽宇</t>
    <phoneticPr fontId="2" type="noConversion"/>
  </si>
  <si>
    <t>陈舒然</t>
    <phoneticPr fontId="2" type="noConversion"/>
  </si>
  <si>
    <t>林凯瑞</t>
    <phoneticPr fontId="2" type="noConversion"/>
  </si>
  <si>
    <t>郭彦彬</t>
    <phoneticPr fontId="2" type="noConversion"/>
  </si>
  <si>
    <t>吴佳妮</t>
    <phoneticPr fontId="2" type="noConversion"/>
  </si>
  <si>
    <t>郑雨茉</t>
    <phoneticPr fontId="2" type="noConversion"/>
  </si>
  <si>
    <t>宋启恒</t>
    <phoneticPr fontId="2" type="noConversion"/>
  </si>
  <si>
    <t>黄诗涵</t>
    <phoneticPr fontId="2" type="noConversion"/>
  </si>
  <si>
    <t>韩沐阳</t>
    <phoneticPr fontId="2" type="noConversion"/>
  </si>
  <si>
    <t>曹硕霖</t>
    <phoneticPr fontId="2" type="noConversion"/>
  </si>
  <si>
    <t>叶静怡</t>
    <phoneticPr fontId="2" type="noConversion"/>
  </si>
  <si>
    <t>邓崇安</t>
    <phoneticPr fontId="2" type="noConversion"/>
  </si>
  <si>
    <t>CPA考级结果</t>
    <phoneticPr fontId="2" type="noConversion"/>
  </si>
  <si>
    <t>报名状态</t>
    <phoneticPr fontId="2" type="noConversion"/>
  </si>
  <si>
    <t>是否参加</t>
    <phoneticPr fontId="2" type="noConversion"/>
  </si>
  <si>
    <t>初赛</t>
    <phoneticPr fontId="2" type="noConversion"/>
  </si>
  <si>
    <t>已通知</t>
  </si>
  <si>
    <t>已通知</t>
    <phoneticPr fontId="2" type="noConversion"/>
  </si>
  <si>
    <t>已报名</t>
  </si>
  <si>
    <t>已报名</t>
    <phoneticPr fontId="2" type="noConversion"/>
  </si>
  <si>
    <t>CCF-GESP考级结果</t>
    <phoneticPr fontId="2" type="noConversion"/>
  </si>
  <si>
    <t>电子学会考级结果</t>
    <phoneticPr fontId="2" type="noConversion"/>
  </si>
  <si>
    <t>一级</t>
  </si>
  <si>
    <t>一级</t>
    <phoneticPr fontId="2" type="noConversion"/>
  </si>
  <si>
    <t>二级</t>
  </si>
  <si>
    <t>二级</t>
    <phoneticPr fontId="2" type="noConversion"/>
  </si>
  <si>
    <t>三级</t>
  </si>
  <si>
    <t>三级</t>
    <phoneticPr fontId="2" type="noConversion"/>
  </si>
  <si>
    <t>四级</t>
  </si>
  <si>
    <t>四级</t>
    <phoneticPr fontId="2" type="noConversion"/>
  </si>
  <si>
    <t>五级</t>
    <phoneticPr fontId="2" type="noConversion"/>
  </si>
  <si>
    <t>六级</t>
    <phoneticPr fontId="2" type="noConversion"/>
  </si>
  <si>
    <t>七级</t>
    <phoneticPr fontId="2" type="noConversion"/>
  </si>
  <si>
    <t>八级</t>
    <phoneticPr fontId="2" type="noConversion"/>
  </si>
  <si>
    <t>九级</t>
    <phoneticPr fontId="2" type="noConversion"/>
  </si>
  <si>
    <t>十级</t>
    <phoneticPr fontId="2" type="noConversion"/>
  </si>
  <si>
    <t>报名课时</t>
    <phoneticPr fontId="2" type="noConversion"/>
  </si>
  <si>
    <t>续费时间</t>
    <phoneticPr fontId="2" type="noConversion"/>
  </si>
  <si>
    <t>是否续费</t>
    <phoneticPr fontId="2" type="noConversion"/>
  </si>
  <si>
    <t>续费课时</t>
    <phoneticPr fontId="2" type="noConversion"/>
  </si>
  <si>
    <t>报名时间</t>
    <phoneticPr fontId="2" type="noConversion"/>
  </si>
  <si>
    <t>报名：3.25-4.30 → 初赛 5 月 → 省赛 6-7 月 → 全国总决赛 8 月</t>
    <phoneticPr fontId="2" type="noConversion"/>
  </si>
  <si>
    <t>官网ceic.kpcb.org.cn注册，填姓名、年级、学校，自选组别：Scratch (1-3)、Python (4-6)、C++(5 年级 +)，个人 / 学校均可自主报名，无报名费。</t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</si>
  <si>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初赛</t>
    </r>
    <r>
      <rPr>
        <sz val="11"/>
        <color theme="1"/>
        <rFont val="等线"/>
        <family val="2"/>
        <scheme val="minor"/>
      </rPr>
      <t>（线上居家机考，对标蓝桥省赛）
考前 1-2 天平台</t>
    </r>
    <r>
      <rPr>
        <b/>
        <sz val="11"/>
        <color theme="1"/>
        <rFont val="等线"/>
        <family val="3"/>
        <charset val="134"/>
        <scheme val="minor"/>
      </rPr>
      <t>模拟测试</t>
    </r>
    <r>
      <rPr>
        <sz val="11"/>
        <color theme="1"/>
        <rFont val="等线"/>
        <family val="2"/>
        <scheme val="minor"/>
      </rPr>
      <t xml:space="preserve">（调试电脑 + 双机位监考：电脑答题 + 手机腾讯会议监考）
</t>
    </r>
    <r>
      <rPr>
        <b/>
        <sz val="11"/>
        <color theme="1"/>
        <rFont val="等线"/>
        <family val="3"/>
        <charset val="134"/>
        <scheme val="minor"/>
      </rPr>
      <t>正式</t>
    </r>
    <r>
      <rPr>
        <sz val="11"/>
        <color theme="1"/>
        <rFont val="等线"/>
        <family val="2"/>
        <scheme val="minor"/>
      </rPr>
      <t xml:space="preserve">：Scratch/Python/C++ 分批次周末线上答题，60 分钟闭卷；题型：选择 + 填空 + 编程实操写代码，当场出分
</t>
    </r>
    <r>
      <rPr>
        <b/>
        <sz val="11"/>
        <color theme="1"/>
        <rFont val="等线"/>
        <family val="3"/>
        <charset val="134"/>
        <scheme val="minor"/>
      </rPr>
      <t>晋级规则</t>
    </r>
    <r>
      <rPr>
        <sz val="11"/>
        <color theme="1"/>
        <rFont val="等线"/>
        <family val="2"/>
        <scheme val="minor"/>
      </rPr>
      <t>：赛区前 35% 晋级省级复赛，剩余发初赛电子奖状</t>
    </r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</si>
  <si>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省复赛</t>
    </r>
    <r>
      <rPr>
        <sz val="11"/>
        <color theme="1"/>
        <rFont val="等线"/>
        <family val="2"/>
        <scheme val="minor"/>
      </rPr>
      <t>（省内线下机房 / 线上二选一，对标原 NOC 省赛）
同题型、难度提升，省一 / 省二晋级全国总决赛（</t>
    </r>
    <r>
      <rPr>
        <b/>
        <sz val="11"/>
        <color theme="1"/>
        <rFont val="等线"/>
        <family val="3"/>
        <charset val="134"/>
        <scheme val="minor"/>
      </rPr>
      <t>约全省前 15%</t>
    </r>
    <r>
      <rPr>
        <sz val="11"/>
        <color theme="1"/>
        <rFont val="等线"/>
        <family val="2"/>
        <scheme val="minor"/>
      </rPr>
      <t xml:space="preserve">），省赛发纸质省级证书
</t>
    </r>
    <r>
      <rPr>
        <b/>
        <sz val="11"/>
        <color theme="1"/>
        <rFont val="等线"/>
        <family val="3"/>
        <charset val="134"/>
        <scheme val="minor"/>
      </rPr>
      <t>全国总决赛</t>
    </r>
    <r>
      <rPr>
        <sz val="11"/>
        <color theme="1"/>
        <rFont val="等线"/>
        <family val="2"/>
        <scheme val="minor"/>
      </rPr>
      <t>（线下集中赛场）
统一场地现场上机，全国评级金银铜，国奖纸质证书（综评、科技特长生有效）</t>
    </r>
    <phoneticPr fontId="2" type="noConversion"/>
  </si>
  <si>
    <t>报名 4-6 月→省选拔赛 6-7 月→全国决赛 8 月中下旬</t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</si>
  <si>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报名</t>
    </r>
    <r>
      <rPr>
        <sz val="11"/>
        <color theme="1"/>
        <rFont val="等线"/>
        <family val="2"/>
        <scheme val="minor"/>
      </rPr>
      <t>：官网aiic.china61.org.cn填报信息，编程赛道分：Scratch 创意编程、Python 算法、C++ 算法；全程免费无报名费</t>
    </r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</si>
  <si>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省级选拔赛</t>
    </r>
    <r>
      <rPr>
        <sz val="11"/>
        <color theme="1"/>
        <rFont val="等线"/>
        <family val="2"/>
        <scheme val="minor"/>
      </rPr>
      <t>（二选一）
①代码答题组（对标蓝桥笔试）：线上限时编程做题；
②创意作品组（对标 NOC 科创）：居家完成编程项目 + 项目说明书 + 演示视频，线上打包上传作品评审，不用现场上机全国青少年人工智能创新挑战赛
晋级：选拔赛</t>
    </r>
    <r>
      <rPr>
        <b/>
        <sz val="11"/>
        <color theme="1"/>
        <rFont val="等线"/>
        <family val="3"/>
        <charset val="134"/>
        <scheme val="minor"/>
      </rPr>
      <t>一二等奖晋级全国决赛</t>
    </r>
    <r>
      <rPr>
        <sz val="11"/>
        <color theme="1"/>
        <rFont val="等线"/>
        <family val="2"/>
        <scheme val="minor"/>
      </rPr>
      <t>，三等奖仅发省证</t>
    </r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</si>
  <si>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全国决赛</t>
    </r>
    <r>
      <rPr>
        <sz val="11"/>
        <color theme="1"/>
        <rFont val="等线"/>
        <family val="2"/>
        <scheme val="minor"/>
      </rPr>
      <t>（线下）
作品组现场答辩 + 现场限时修改程序；答题组现场上机编程，现场评</t>
    </r>
    <r>
      <rPr>
        <b/>
        <sz val="11"/>
        <color theme="1"/>
        <rFont val="等线"/>
        <family val="3"/>
        <charset val="134"/>
        <scheme val="minor"/>
      </rPr>
      <t>国金银铜奖</t>
    </r>
    <phoneticPr fontId="2" type="noConversion"/>
  </si>
  <si>
    <t>省复赛</t>
    <phoneticPr fontId="2" type="noConversion"/>
  </si>
  <si>
    <t>全国总决赛</t>
    <phoneticPr fontId="2" type="noConversion"/>
  </si>
  <si>
    <t>省级选拔赛</t>
    <phoneticPr fontId="2" type="noConversion"/>
  </si>
  <si>
    <t>全国决赛</t>
    <phoneticPr fontId="2" type="noConversion"/>
  </si>
  <si>
    <t>月份筛选：</t>
    <phoneticPr fontId="2" type="noConversion"/>
  </si>
  <si>
    <t>年份筛选：</t>
    <phoneticPr fontId="2" type="noConversion"/>
  </si>
  <si>
    <t>月累计：</t>
    <phoneticPr fontId="2" type="noConversion"/>
  </si>
  <si>
    <t>缴费金额</t>
    <phoneticPr fontId="2" type="noConversion"/>
  </si>
  <si>
    <t>备注</t>
    <phoneticPr fontId="2" type="noConversion"/>
  </si>
  <si>
    <t>两人同时报名</t>
    <phoneticPr fontId="2" type="noConversion"/>
  </si>
  <si>
    <t>连报</t>
    <phoneticPr fontId="2" type="noConversion"/>
  </si>
  <si>
    <t>续费金额</t>
    <phoneticPr fontId="2" type="noConversion"/>
  </si>
  <si>
    <t>续费率</t>
    <phoneticPr fontId="2" type="noConversion"/>
  </si>
  <si>
    <t>续费人数</t>
    <phoneticPr fontId="2" type="noConversion"/>
  </si>
  <si>
    <t>应续费人数</t>
    <phoneticPr fontId="2" type="noConversion"/>
  </si>
  <si>
    <t>学生情况</t>
    <phoneticPr fontId="2" type="noConversion"/>
  </si>
  <si>
    <t>姓名</t>
    <phoneticPr fontId="2" type="noConversion"/>
  </si>
  <si>
    <t>课程科目</t>
    <phoneticPr fontId="2" type="noConversion"/>
  </si>
  <si>
    <t>报名日期</t>
  </si>
  <si>
    <t>首次缴费</t>
    <phoneticPr fontId="2" type="noConversion"/>
  </si>
  <si>
    <t>是否续费</t>
  </si>
  <si>
    <t>信息素养大赛</t>
  </si>
  <si>
    <t>人工智能挑战赛</t>
  </si>
  <si>
    <t>学员分类标签</t>
  </si>
  <si>
    <t>合计总收入</t>
  </si>
  <si>
    <t>cpa考级等级</t>
    <phoneticPr fontId="2" type="noConversion"/>
  </si>
  <si>
    <t>Python课程总营收：</t>
    <phoneticPr fontId="2" type="noConversion"/>
  </si>
  <si>
    <t>Scratch课程总营收：</t>
    <phoneticPr fontId="2" type="noConversion"/>
  </si>
  <si>
    <t>c++课程总营收：</t>
    <phoneticPr fontId="2" type="noConversion"/>
  </si>
  <si>
    <t>总营收：</t>
    <phoneticPr fontId="2" type="noConversion"/>
  </si>
  <si>
    <t>行标签</t>
  </si>
  <si>
    <t>c++</t>
  </si>
  <si>
    <t>Python</t>
  </si>
  <si>
    <t>scratch</t>
  </si>
  <si>
    <t>总计</t>
  </si>
  <si>
    <t>求和项:首次缴费</t>
  </si>
  <si>
    <t>求和项:总续费金额</t>
  </si>
  <si>
    <t>计数项:学员 ID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</si>
  <si>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</si>
  <si>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</si>
  <si>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</si>
  <si>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</si>
  <si>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</si>
  <si>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</si>
  <si>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</si>
  <si>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</si>
  <si>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</si>
  <si>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</si>
  <si>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首次续费时间</t>
    <phoneticPr fontId="2" type="noConversion"/>
  </si>
  <si>
    <t>累计续费次数</t>
    <phoneticPr fontId="2" type="noConversion"/>
  </si>
  <si>
    <t>是否有考级</t>
    <phoneticPr fontId="2" type="noConversion"/>
  </si>
  <si>
    <t>是否有参赛</t>
    <phoneticPr fontId="2" type="noConversion"/>
  </si>
  <si>
    <t>学员生命周期价值 (LTV)</t>
    <phoneticPr fontId="2" type="noConversion"/>
  </si>
  <si>
    <t>学员价值分层</t>
    <phoneticPr fontId="2" type="noConversion"/>
  </si>
  <si>
    <t>续费率达标判断</t>
    <phoneticPr fontId="2" type="noConversion"/>
  </si>
  <si>
    <t>月度新签营收</t>
  </si>
  <si>
    <t>月度实收续费营收</t>
    <phoneticPr fontId="2" type="noConversion"/>
  </si>
  <si>
    <t>月度总营收</t>
    <phoneticPr fontId="2" type="noConversion"/>
  </si>
  <si>
    <t>Scratch 月度总营收</t>
    <phoneticPr fontId="2" type="noConversion"/>
  </si>
  <si>
    <t>C++月度总营收</t>
    <phoneticPr fontId="2" type="noConversion"/>
  </si>
  <si>
    <t>python月度总营收</t>
    <phoneticPr fontId="2" type="noConversion"/>
  </si>
  <si>
    <t>二年级，后面要学py</t>
    <phoneticPr fontId="2" type="noConversion"/>
  </si>
  <si>
    <t>平均值项:学员生命周期价值 (LTV)</t>
  </si>
  <si>
    <t>Scratch 学员基数最大，累计营收贡献最高，是核心营收课程；
Python 课程平均 LTV 最高，续费率超 100%，学员长期价值最高，可重点推广；
C++ 课程续费率偏低，可优化课后服务、赛事运营提升留存。</t>
    <phoneticPr fontId="2" type="noConversion"/>
  </si>
  <si>
    <t>年份</t>
    <phoneticPr fontId="2" type="noConversion"/>
  </si>
  <si>
    <t>月份</t>
    <phoneticPr fontId="2" type="noConversion"/>
  </si>
  <si>
    <t>年月文本</t>
    <phoneticPr fontId="2" type="noConversion"/>
  </si>
  <si>
    <t>当月新签营收</t>
    <phoneticPr fontId="2" type="noConversion"/>
  </si>
  <si>
    <t>报名年份</t>
    <phoneticPr fontId="2" type="noConversion"/>
  </si>
  <si>
    <t>报名月份</t>
    <phoneticPr fontId="2" type="noConversion"/>
  </si>
  <si>
    <t>报名到首续费间隔天数</t>
    <phoneticPr fontId="2" type="noConversion"/>
  </si>
  <si>
    <t>累计续费总金额</t>
    <phoneticPr fontId="2" type="noConversion"/>
  </si>
  <si>
    <t>当月实收续费</t>
    <phoneticPr fontId="2" type="noConversion"/>
  </si>
  <si>
    <t>同比增长率</t>
    <phoneticPr fontId="2" type="noConversion"/>
  </si>
  <si>
    <t>环比增长率</t>
    <phoneticPr fontId="2" type="noConversion"/>
  </si>
  <si>
    <t>针对多列不规则续费宽表，我采用「嵌套 SUMIFS+SUM」的结构，结合 DATE 和 EOMONTH 函数，实现了多列数据的按年 / 月自动化聚合，解决了透视表无法直接汇总的痛点。整个指标体系完全自动化，下拉即可适配所有年份和月份，新增续费列只需复制一行 SUMIFS，维护成本极低。</t>
    <phoneticPr fontId="2" type="noConversion"/>
  </si>
  <si>
    <t>求和项:当月新签营收</t>
  </si>
  <si>
    <t>求和项:当月实收续费</t>
  </si>
  <si>
    <t>求和项:月度总营收</t>
  </si>
  <si>
    <t>2025 年 7-8 月暑期新签营收同比 2024 年增长显著，是全年招生旺季，投放预算应向暑期倾斜；
2025 年 1-3 月报名学员的续费营收，同比 2024 年同批次学员增长明显，获客质量显著提升，是优质招生时段；
月度营收整体呈上升趋势，业务增长动力充足，续费营收占比逐步提升，业务健康度向好。</t>
    <phoneticPr fontId="2" type="noConversion"/>
  </si>
  <si>
    <t>列标签</t>
  </si>
  <si>
    <t>求和项:首次缴费汇总</t>
  </si>
  <si>
    <t>求和项:总续费金额汇总</t>
  </si>
  <si>
    <t>平均值项:学员生命周期价值 (LTV)汇总</t>
  </si>
  <si>
    <t>Scratch 课程是核心营收来源，2025 年累计营收占比超 60%，同比 2024 年有显著增长，是公司的基本盘课程；
Python 课程 2025 年平均 LTV 最高，续费率超 100%，学员长期价值最高，是高潜力增长课程，应重点推广；
C++ 课程暑期招生表现亮眼，但续费率偏低，需优化课后服务、赛事考级运营提升学员留存。</t>
    <phoneticPr fontId="2" type="noConversion"/>
  </si>
  <si>
    <t>低价值</t>
  </si>
  <si>
    <t>高价值</t>
  </si>
  <si>
    <t>中价值</t>
  </si>
  <si>
    <t>高价值学员仅占总学员数的 20%，但贡献了 60% 以上的总营收，符合二八定律，是核心运营对象，运营资源应向高价值学员倾斜；
2025 年高价值学员占比同比 2024 年提升明显，学员分层运营效果显著；
高价值学员的考级 / 参赛占比超 80%，赛事考级活动是提升学员生命周期价值的核心抓手。</t>
    <phoneticPr fontId="2" type="noConversion"/>
  </si>
  <si>
    <t>否</t>
  </si>
  <si>
    <t>是</t>
  </si>
  <si>
    <t>平均值项:报名到首续费间隔天数</t>
  </si>
  <si>
    <t>同时参加考级 + 赛事的学员，平均续费率是无考级无参赛学员的 2 倍，平均 LTV 高 3 倍，说明赛事和考级活动能显著提升学员留存和生命周期价值；
仅考级的学员续费率也显著高于普通学员，说明考级活动是提升学员留存的有效抓手；
有参赛经历的学员，报名到首续费的间隔天数更短，转化效率更高，说明赛事活动能有效提升学员的付费意愿。</t>
    <phoneticPr fontId="2" type="noConversion"/>
  </si>
  <si>
    <t>求和项:合计总收入</t>
  </si>
  <si>
    <t>学员 ID</t>
    <phoneticPr fontId="2" type="noConversion"/>
  </si>
  <si>
    <t>总续费金额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</si>
</sst>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0" borderId="1" xfId="0" applyNumberFormat="1" applyBorder="1" applyAlignment="1">
      <alignment horizontal="center" vertical="center" wrapText="1"/>
    </xf>
    <xf numFmtId="14" fontId="0" fillId="0" borderId="0" xfId="0" applyNumberFormat="1"/>
    <xf numFmtId="14" fontId="3" fillId="0" borderId="2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10" fontId="0" fillId="0" borderId="0" xfId="0" applyNumberFormat="1"/>
    <xf numFmtId="0" fontId="0" fillId="0" borderId="3" xfId="0" applyBorder="1"/>
    <xf numFmtId="0" fontId="6" fillId="0" borderId="3" xfId="0" applyFont="1" applyBorder="1"/>
    <xf numFmtId="0" fontId="0" fillId="2" borderId="0" xfId="0" applyFill="1"/>
    <xf numFmtId="0" fontId="3" fillId="2" borderId="3" xfId="0" applyFont="1" applyFill="1" applyBorder="1"/>
    <xf numFmtId="0" fontId="3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6" fillId="0" borderId="0" xfId="0" applyFont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[学生基本信息.xlsx]多维度数据透视分析!数据透视表4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多维度数据透视分析!$B$1</c:f>
              <c:strCache>
                <c:ptCount val="1"/>
                <c:pt idx="0">
                  <c:v>计数项:学员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多维度数据透视分析!$A$2:$A$5</c:f>
              <c:strCache>
                <c:ptCount val="3"/>
                <c:pt idx="0">
                  <c:v>c++</c:v>
                </c:pt>
                <c:pt idx="1">
                  <c:v>Python</c:v>
                </c:pt>
                <c:pt idx="2">
                  <c:v>scratch</c:v>
                </c:pt>
              </c:strCache>
            </c:strRef>
          </c:cat>
          <c:val>
            <c:numRef>
              <c:f>多维度数据透视分析!$B$2:$B$5</c:f>
              <c:numCache>
                <c:formatCode>General</c:formatCode>
                <c:ptCount val="3"/>
                <c:pt idx="0">
                  <c:v>6</c:v>
                </c:pt>
                <c:pt idx="1">
                  <c:v>5</c:v>
                </c:pt>
                <c:pt idx="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77-4DE2-BB80-E1C94674343A}"/>
            </c:ext>
          </c:extLst>
        </c:ser>
        <c:ser>
          <c:idx val="1"/>
          <c:order val="1"/>
          <c:tx>
            <c:strRef>
              <c:f>多维度数据透视分析!$C$1</c:f>
              <c:strCache>
                <c:ptCount val="1"/>
                <c:pt idx="0">
                  <c:v>求和项:首次缴费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多维度数据透视分析!$A$2:$A$5</c:f>
              <c:strCache>
                <c:ptCount val="3"/>
                <c:pt idx="0">
                  <c:v>c++</c:v>
                </c:pt>
                <c:pt idx="1">
                  <c:v>Python</c:v>
                </c:pt>
                <c:pt idx="2">
                  <c:v>scratch</c:v>
                </c:pt>
              </c:strCache>
            </c:strRef>
          </c:cat>
          <c:val>
            <c:numRef>
              <c:f>多维度数据透视分析!$C$2:$C$5</c:f>
              <c:numCache>
                <c:formatCode>General</c:formatCode>
                <c:ptCount val="3"/>
                <c:pt idx="0">
                  <c:v>11000</c:v>
                </c:pt>
                <c:pt idx="1">
                  <c:v>8400</c:v>
                </c:pt>
                <c:pt idx="2">
                  <c:v>33800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77-4DE2-BB80-E1C94674343A}"/>
            </c:ext>
          </c:extLst>
        </c:ser>
        <c:ser>
          <c:idx val="2"/>
          <c:order val="2"/>
          <c:tx>
            <c:strRef>
              <c:f>多维度数据透视分析!$D$1</c:f>
              <c:strCache>
                <c:ptCount val="1"/>
                <c:pt idx="0">
                  <c:v>求和项:总续费金额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多维度数据透视分析!$A$2:$A$5</c:f>
              <c:strCache>
                <c:ptCount val="3"/>
                <c:pt idx="0">
                  <c:v>c++</c:v>
                </c:pt>
                <c:pt idx="1">
                  <c:v>Python</c:v>
                </c:pt>
                <c:pt idx="2">
                  <c:v>scratch</c:v>
                </c:pt>
              </c:strCache>
            </c:strRef>
          </c:cat>
          <c:val>
            <c:numRef>
              <c:f>多维度数据透视分析!$D$2:$D$5</c:f>
              <c:numCache>
                <c:formatCode>General</c:formatCode>
                <c:ptCount val="3"/>
                <c:pt idx="0">
                  <c:v>7800</c:v>
                </c:pt>
                <c:pt idx="1">
                  <c:v>9600</c:v>
                </c:pt>
                <c:pt idx="2">
                  <c:v>44400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77-4DE2-BB80-E1C94674343A}"/>
            </c:ext>
          </c:extLst>
        </c:ser>
        <c:ser>
          <c:idx val="3"/>
          <c:order val="3"/>
          <c:tx>
            <c:strRef>
              <c:f>多维度数据透视分析!$E$1</c:f>
              <c:strCache>
                <c:ptCount val="1"/>
                <c:pt idx="0">
                  <c:v>平均值项:学员生命周期价值 (LTV)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多维度数据透视分析!$A$2:$A$5</c:f>
              <c:strCache>
                <c:ptCount val="3"/>
                <c:pt idx="0">
                  <c:v>c++</c:v>
                </c:pt>
                <c:pt idx="1">
                  <c:v>Python</c:v>
                </c:pt>
                <c:pt idx="2">
                  <c:v>scratch</c:v>
                </c:pt>
              </c:strCache>
            </c:strRef>
          </c:cat>
          <c:val>
            <c:numRef>
              <c:f>多维度数据透视分析!$E$2:$E$5</c:f>
              <c:numCache>
                <c:formatCode>General</c:formatCode>
                <c:ptCount val="3"/>
                <c:pt idx="0">
                  <c:v>3133.3333333333335</c:v>
                </c:pt>
                <c:pt idx="1">
                  <c:v>3600</c:v>
                </c:pt>
                <c:pt idx="2">
                  <c:v>3723.8095238095239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77-4DE2-BB80-E1C946743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7227871"/>
        <c:axId val="717225951"/>
      </c:barChart>
      <c:catAx>
        <c:axId val="71722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7225951"/>
        <c:crosses val="autoZero"/>
        <c:auto val="1"/>
        <c:lblAlgn val="ctr"/>
        <c:lblOffset val="100"/>
        <c:noMultiLvlLbl val="0"/>
      </c:catAx>
      <c:valAx>
        <c:axId val="71722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7227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[学生基本信息.xlsx]多维度数据透视分析!数据透视表1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多维度数据透视分析!$B$23</c:f>
              <c:strCache>
                <c:ptCount val="1"/>
                <c:pt idx="0">
                  <c:v>求和项:当月新签营收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多维度数据透视分析!$A$24:$A$43</c:f>
              <c:multiLvlStrCache>
                <c:ptCount val="17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</c:lvl>
                <c:lvl>
                  <c:pt idx="0">
                    <c:v>2025</c:v>
                  </c:pt>
                  <c:pt idx="12">
                    <c:v>2026</c:v>
                  </c:pt>
                </c:lvl>
              </c:multiLvlStrCache>
            </c:multiLvlStrRef>
          </c:cat>
          <c:val>
            <c:numRef>
              <c:f>多维度数据透视分析!$B$24:$B$43</c:f>
              <c:numCache>
                <c:formatCode>General</c:formatCode>
                <c:ptCount val="17"/>
                <c:pt idx="0">
                  <c:v>4800</c:v>
                </c:pt>
                <c:pt idx="1">
                  <c:v>5200</c:v>
                </c:pt>
                <c:pt idx="2">
                  <c:v>3600</c:v>
                </c:pt>
                <c:pt idx="3">
                  <c:v>1200</c:v>
                </c:pt>
                <c:pt idx="4">
                  <c:v>2400</c:v>
                </c:pt>
                <c:pt idx="5">
                  <c:v>6600</c:v>
                </c:pt>
                <c:pt idx="6">
                  <c:v>10800</c:v>
                </c:pt>
                <c:pt idx="7">
                  <c:v>11400</c:v>
                </c:pt>
                <c:pt idx="8">
                  <c:v>6000</c:v>
                </c:pt>
                <c:pt idx="9">
                  <c:v>1200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A5-4BE6-A650-5340DB354A02}"/>
            </c:ext>
          </c:extLst>
        </c:ser>
        <c:ser>
          <c:idx val="1"/>
          <c:order val="1"/>
          <c:tx>
            <c:strRef>
              <c:f>多维度数据透视分析!$C$23</c:f>
              <c:strCache>
                <c:ptCount val="1"/>
                <c:pt idx="0">
                  <c:v>求和项:当月实收续费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多维度数据透视分析!$A$24:$A$43</c:f>
              <c:multiLvlStrCache>
                <c:ptCount val="17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</c:lvl>
                <c:lvl>
                  <c:pt idx="0">
                    <c:v>2025</c:v>
                  </c:pt>
                  <c:pt idx="12">
                    <c:v>2026</c:v>
                  </c:pt>
                </c:lvl>
              </c:multiLvlStrCache>
            </c:multiLvlStrRef>
          </c:cat>
          <c:val>
            <c:numRef>
              <c:f>多维度数据透视分析!$C$24:$C$43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2400</c:v>
                </c:pt>
                <c:pt idx="4">
                  <c:v>1200</c:v>
                </c:pt>
                <c:pt idx="5">
                  <c:v>4800</c:v>
                </c:pt>
                <c:pt idx="6">
                  <c:v>6000</c:v>
                </c:pt>
                <c:pt idx="7">
                  <c:v>3600</c:v>
                </c:pt>
                <c:pt idx="8">
                  <c:v>6000</c:v>
                </c:pt>
                <c:pt idx="9">
                  <c:v>9600</c:v>
                </c:pt>
                <c:pt idx="10">
                  <c:v>10800</c:v>
                </c:pt>
                <c:pt idx="11">
                  <c:v>12600</c:v>
                </c:pt>
                <c:pt idx="12">
                  <c:v>4200</c:v>
                </c:pt>
                <c:pt idx="13">
                  <c:v>600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A5-4BE6-A650-5340DB354A02}"/>
            </c:ext>
          </c:extLst>
        </c:ser>
        <c:ser>
          <c:idx val="2"/>
          <c:order val="2"/>
          <c:tx>
            <c:strRef>
              <c:f>多维度数据透视分析!$D$23</c:f>
              <c:strCache>
                <c:ptCount val="1"/>
                <c:pt idx="0">
                  <c:v>求和项:月度总营收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多维度数据透视分析!$A$24:$A$43</c:f>
              <c:multiLvlStrCache>
                <c:ptCount val="17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</c:lvl>
                <c:lvl>
                  <c:pt idx="0">
                    <c:v>2025</c:v>
                  </c:pt>
                  <c:pt idx="12">
                    <c:v>2026</c:v>
                  </c:pt>
                </c:lvl>
              </c:multiLvlStrCache>
            </c:multiLvlStrRef>
          </c:cat>
          <c:val>
            <c:numRef>
              <c:f>多维度数据透视分析!$D$24:$D$43</c:f>
              <c:numCache>
                <c:formatCode>General</c:formatCode>
                <c:ptCount val="17"/>
                <c:pt idx="0">
                  <c:v>4800</c:v>
                </c:pt>
                <c:pt idx="1">
                  <c:v>5200</c:v>
                </c:pt>
                <c:pt idx="2">
                  <c:v>3600</c:v>
                </c:pt>
                <c:pt idx="3">
                  <c:v>3600</c:v>
                </c:pt>
                <c:pt idx="4">
                  <c:v>3600</c:v>
                </c:pt>
                <c:pt idx="5">
                  <c:v>11400</c:v>
                </c:pt>
                <c:pt idx="6">
                  <c:v>16800</c:v>
                </c:pt>
                <c:pt idx="7">
                  <c:v>15000</c:v>
                </c:pt>
                <c:pt idx="8">
                  <c:v>12000</c:v>
                </c:pt>
                <c:pt idx="9">
                  <c:v>10800</c:v>
                </c:pt>
                <c:pt idx="10">
                  <c:v>10800</c:v>
                </c:pt>
                <c:pt idx="11">
                  <c:v>12600</c:v>
                </c:pt>
                <c:pt idx="12">
                  <c:v>4200</c:v>
                </c:pt>
                <c:pt idx="13">
                  <c:v>600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A5-4BE6-A650-5340DB354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4051360"/>
        <c:axId val="894025920"/>
      </c:barChart>
      <c:catAx>
        <c:axId val="894051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94025920"/>
        <c:crosses val="autoZero"/>
        <c:auto val="1"/>
        <c:lblAlgn val="ctr"/>
        <c:lblOffset val="100"/>
        <c:noMultiLvlLbl val="0"/>
      </c:catAx>
      <c:valAx>
        <c:axId val="89402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94051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[学生基本信息.xlsx]多维度数据透视分析!数据透视表3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多维度数据透视分析!$B$61:$B$63</c:f>
              <c:strCache>
                <c:ptCount val="1"/>
                <c:pt idx="0">
                  <c:v>1月 - 求和项:首次缴费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多维度数据透视分析!$A$64:$A$68</c:f>
              <c:multiLvlStrCache>
                <c:ptCount val="3"/>
                <c:lvl>
                  <c:pt idx="0">
                    <c:v>c++</c:v>
                  </c:pt>
                  <c:pt idx="1">
                    <c:v>Python</c:v>
                  </c:pt>
                  <c:pt idx="2">
                    <c:v>scratch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多维度数据透视分析!$B$64:$B$68</c:f>
              <c:numCache>
                <c:formatCode>General</c:formatCode>
                <c:ptCount val="3"/>
                <c:pt idx="1">
                  <c:v>2400</c:v>
                </c:pt>
                <c:pt idx="2">
                  <c:v>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44-42DB-91F8-16BD8D1EFB82}"/>
            </c:ext>
          </c:extLst>
        </c:ser>
        <c:ser>
          <c:idx val="1"/>
          <c:order val="1"/>
          <c:tx>
            <c:strRef>
              <c:f>多维度数据透视分析!$C$61:$C$63</c:f>
              <c:strCache>
                <c:ptCount val="1"/>
                <c:pt idx="0">
                  <c:v>1月 - 求和项:总续费金额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多维度数据透视分析!$A$64:$A$68</c:f>
              <c:multiLvlStrCache>
                <c:ptCount val="3"/>
                <c:lvl>
                  <c:pt idx="0">
                    <c:v>c++</c:v>
                  </c:pt>
                  <c:pt idx="1">
                    <c:v>Python</c:v>
                  </c:pt>
                  <c:pt idx="2">
                    <c:v>scratch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多维度数据透视分析!$C$64:$C$68</c:f>
              <c:numCache>
                <c:formatCode>General</c:formatCode>
                <c:ptCount val="3"/>
                <c:pt idx="1">
                  <c:v>3600</c:v>
                </c:pt>
                <c:pt idx="2">
                  <c:v>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44-42DB-91F8-16BD8D1EFB82}"/>
            </c:ext>
          </c:extLst>
        </c:ser>
        <c:ser>
          <c:idx val="2"/>
          <c:order val="2"/>
          <c:tx>
            <c:strRef>
              <c:f>多维度数据透视分析!$D$61:$D$63</c:f>
              <c:strCache>
                <c:ptCount val="1"/>
                <c:pt idx="0">
                  <c:v>1月 - 平均值项:学员生命周期价值 (LTV)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多维度数据透视分析!$A$64:$A$68</c:f>
              <c:multiLvlStrCache>
                <c:ptCount val="3"/>
                <c:lvl>
                  <c:pt idx="0">
                    <c:v>c++</c:v>
                  </c:pt>
                  <c:pt idx="1">
                    <c:v>Python</c:v>
                  </c:pt>
                  <c:pt idx="2">
                    <c:v>scratch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多维度数据透视分析!$D$64:$D$68</c:f>
              <c:numCache>
                <c:formatCode>General</c:formatCode>
                <c:ptCount val="3"/>
                <c:pt idx="1">
                  <c:v>6000</c:v>
                </c:pt>
                <c:pt idx="2">
                  <c:v>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44-42DB-91F8-16BD8D1EFB82}"/>
            </c:ext>
          </c:extLst>
        </c:ser>
        <c:ser>
          <c:idx val="3"/>
          <c:order val="3"/>
          <c:tx>
            <c:strRef>
              <c:f>多维度数据透视分析!$E$61:$E$63</c:f>
              <c:strCache>
                <c:ptCount val="1"/>
                <c:pt idx="0">
                  <c:v>2月 - 求和项:首次缴费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多维度数据透视分析!$A$64:$A$68</c:f>
              <c:multiLvlStrCache>
                <c:ptCount val="3"/>
                <c:lvl>
                  <c:pt idx="0">
                    <c:v>c++</c:v>
                  </c:pt>
                  <c:pt idx="1">
                    <c:v>Python</c:v>
                  </c:pt>
                  <c:pt idx="2">
                    <c:v>scratch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多维度数据透视分析!$E$64:$E$68</c:f>
              <c:numCache>
                <c:formatCode>General</c:formatCode>
                <c:ptCount val="3"/>
                <c:pt idx="0">
                  <c:v>2000</c:v>
                </c:pt>
                <c:pt idx="2">
                  <c:v>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44-42DB-91F8-16BD8D1EFB82}"/>
            </c:ext>
          </c:extLst>
        </c:ser>
        <c:ser>
          <c:idx val="4"/>
          <c:order val="4"/>
          <c:tx>
            <c:strRef>
              <c:f>多维度数据透视分析!$F$61:$F$63</c:f>
              <c:strCache>
                <c:ptCount val="1"/>
                <c:pt idx="0">
                  <c:v>2月 - 求和项:总续费金额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多维度数据透视分析!$A$64:$A$68</c:f>
              <c:multiLvlStrCache>
                <c:ptCount val="3"/>
                <c:lvl>
                  <c:pt idx="0">
                    <c:v>c++</c:v>
                  </c:pt>
                  <c:pt idx="1">
                    <c:v>Python</c:v>
                  </c:pt>
                  <c:pt idx="2">
                    <c:v>scratch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多维度数据透视分析!$F$64:$F$68</c:f>
              <c:numCache>
                <c:formatCode>General</c:formatCode>
                <c:ptCount val="3"/>
                <c:pt idx="0">
                  <c:v>3600</c:v>
                </c:pt>
                <c:pt idx="2">
                  <c:v>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44-42DB-91F8-16BD8D1EFB82}"/>
            </c:ext>
          </c:extLst>
        </c:ser>
        <c:ser>
          <c:idx val="5"/>
          <c:order val="5"/>
          <c:tx>
            <c:strRef>
              <c:f>多维度数据透视分析!$G$61:$G$63</c:f>
              <c:strCache>
                <c:ptCount val="1"/>
                <c:pt idx="0">
                  <c:v>2月 - 平均值项:学员生命周期价值 (LTV)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多维度数据透视分析!$A$64:$A$68</c:f>
              <c:multiLvlStrCache>
                <c:ptCount val="3"/>
                <c:lvl>
                  <c:pt idx="0">
                    <c:v>c++</c:v>
                  </c:pt>
                  <c:pt idx="1">
                    <c:v>Python</c:v>
                  </c:pt>
                  <c:pt idx="2">
                    <c:v>scratch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多维度数据透视分析!$G$64:$G$68</c:f>
              <c:numCache>
                <c:formatCode>General</c:formatCode>
                <c:ptCount val="3"/>
                <c:pt idx="0">
                  <c:v>5600</c:v>
                </c:pt>
                <c:pt idx="2">
                  <c:v>5200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444-42DB-91F8-16BD8D1EFB82}"/>
            </c:ext>
          </c:extLst>
        </c:ser>
        <c:ser>
          <c:idx val="6"/>
          <c:order val="6"/>
          <c:tx>
            <c:strRef>
              <c:f>多维度数据透视分析!$H$61:$H$63</c:f>
              <c:strCache>
                <c:ptCount val="1"/>
                <c:pt idx="0">
                  <c:v>3月 - 求和项:首次缴费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多维度数据透视分析!$A$64:$A$68</c:f>
              <c:multiLvlStrCache>
                <c:ptCount val="3"/>
                <c:lvl>
                  <c:pt idx="0">
                    <c:v>c++</c:v>
                  </c:pt>
                  <c:pt idx="1">
                    <c:v>Python</c:v>
                  </c:pt>
                  <c:pt idx="2">
                    <c:v>scratch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多维度数据透视分析!$H$64:$H$68</c:f>
              <c:numCache>
                <c:formatCode>General</c:formatCode>
                <c:ptCount val="3"/>
                <c:pt idx="2">
                  <c:v>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444-42DB-91F8-16BD8D1EFB82}"/>
            </c:ext>
          </c:extLst>
        </c:ser>
        <c:ser>
          <c:idx val="7"/>
          <c:order val="7"/>
          <c:tx>
            <c:strRef>
              <c:f>多维度数据透视分析!$I$61:$I$63</c:f>
              <c:strCache>
                <c:ptCount val="1"/>
                <c:pt idx="0">
                  <c:v>3月 - 求和项:总续费金额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多维度数据透视分析!$A$64:$A$68</c:f>
              <c:multiLvlStrCache>
                <c:ptCount val="3"/>
                <c:lvl>
                  <c:pt idx="0">
                    <c:v>c++</c:v>
                  </c:pt>
                  <c:pt idx="1">
                    <c:v>Python</c:v>
                  </c:pt>
                  <c:pt idx="2">
                    <c:v>scratch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多维度数据透视分析!$I$64:$I$68</c:f>
              <c:numCache>
                <c:formatCode>General</c:formatCode>
                <c:ptCount val="3"/>
                <c:pt idx="2">
                  <c:v>10800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444-42DB-91F8-16BD8D1EFB82}"/>
            </c:ext>
          </c:extLst>
        </c:ser>
        <c:ser>
          <c:idx val="8"/>
          <c:order val="8"/>
          <c:tx>
            <c:strRef>
              <c:f>多维度数据透视分析!$J$61:$J$63</c:f>
              <c:strCache>
                <c:ptCount val="1"/>
                <c:pt idx="0">
                  <c:v>3月 - 平均值项:学员生命周期价值 (LTV)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多维度数据透视分析!$A$64:$A$68</c:f>
              <c:multiLvlStrCache>
                <c:ptCount val="3"/>
                <c:lvl>
                  <c:pt idx="0">
                    <c:v>c++</c:v>
                  </c:pt>
                  <c:pt idx="1">
                    <c:v>Python</c:v>
                  </c:pt>
                  <c:pt idx="2">
                    <c:v>scratch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多维度数据透视分析!$J$64:$J$68</c:f>
              <c:numCache>
                <c:formatCode>General</c:formatCode>
                <c:ptCount val="3"/>
                <c:pt idx="2">
                  <c:v>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444-42DB-91F8-16BD8D1EFB82}"/>
            </c:ext>
          </c:extLst>
        </c:ser>
        <c:ser>
          <c:idx val="9"/>
          <c:order val="9"/>
          <c:tx>
            <c:strRef>
              <c:f>多维度数据透视分析!$K$61:$K$63</c:f>
              <c:strCache>
                <c:ptCount val="1"/>
                <c:pt idx="0">
                  <c:v>4月 - 求和项:首次缴费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多维度数据透视分析!$A$64:$A$68</c:f>
              <c:multiLvlStrCache>
                <c:ptCount val="3"/>
                <c:lvl>
                  <c:pt idx="0">
                    <c:v>c++</c:v>
                  </c:pt>
                  <c:pt idx="1">
                    <c:v>Python</c:v>
                  </c:pt>
                  <c:pt idx="2">
                    <c:v>scratch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多维度数据透视分析!$K$64:$K$68</c:f>
              <c:numCache>
                <c:formatCode>General</c:formatCode>
                <c:ptCount val="3"/>
                <c:pt idx="2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444-42DB-91F8-16BD8D1EFB82}"/>
            </c:ext>
          </c:extLst>
        </c:ser>
        <c:ser>
          <c:idx val="10"/>
          <c:order val="10"/>
          <c:tx>
            <c:strRef>
              <c:f>多维度数据透视分析!$L$61:$L$63</c:f>
              <c:strCache>
                <c:ptCount val="1"/>
                <c:pt idx="0">
                  <c:v>4月 - 求和项:总续费金额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多维度数据透视分析!$A$64:$A$68</c:f>
              <c:multiLvlStrCache>
                <c:ptCount val="3"/>
                <c:lvl>
                  <c:pt idx="0">
                    <c:v>c++</c:v>
                  </c:pt>
                  <c:pt idx="1">
                    <c:v>Python</c:v>
                  </c:pt>
                  <c:pt idx="2">
                    <c:v>scratch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多维度数据透视分析!$L$64:$L$68</c:f>
              <c:numCache>
                <c:formatCode>General</c:formatCode>
                <c:ptCount val="3"/>
                <c:pt idx="2">
                  <c:v>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444-42DB-91F8-16BD8D1EFB82}"/>
            </c:ext>
          </c:extLst>
        </c:ser>
        <c:ser>
          <c:idx val="11"/>
          <c:order val="11"/>
          <c:tx>
            <c:strRef>
              <c:f>多维度数据透视分析!$M$61:$M$63</c:f>
              <c:strCache>
                <c:ptCount val="1"/>
                <c:pt idx="0">
                  <c:v>4月 - 平均值项:学员生命周期价值 (LTV)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多维度数据透视分析!$A$64:$A$68</c:f>
              <c:multiLvlStrCache>
                <c:ptCount val="3"/>
                <c:lvl>
                  <c:pt idx="0">
                    <c:v>c++</c:v>
                  </c:pt>
                  <c:pt idx="1">
                    <c:v>Python</c:v>
                  </c:pt>
                  <c:pt idx="2">
                    <c:v>scratch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多维度数据透视分析!$M$64:$M$68</c:f>
              <c:numCache>
                <c:formatCode>General</c:formatCode>
                <c:ptCount val="3"/>
                <c:pt idx="2">
                  <c:v>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444-42DB-91F8-16BD8D1EFB82}"/>
            </c:ext>
          </c:extLst>
        </c:ser>
        <c:ser>
          <c:idx val="12"/>
          <c:order val="12"/>
          <c:tx>
            <c:strRef>
              <c:f>多维度数据透视分析!$N$61:$N$63</c:f>
              <c:strCache>
                <c:ptCount val="1"/>
                <c:pt idx="0">
                  <c:v>5月 - 求和项:首次缴费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多维度数据透视分析!$A$64:$A$68</c:f>
              <c:multiLvlStrCache>
                <c:ptCount val="3"/>
                <c:lvl>
                  <c:pt idx="0">
                    <c:v>c++</c:v>
                  </c:pt>
                  <c:pt idx="1">
                    <c:v>Python</c:v>
                  </c:pt>
                  <c:pt idx="2">
                    <c:v>scratch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多维度数据透视分析!$N$64:$N$68</c:f>
              <c:numCache>
                <c:formatCode>General</c:formatCode>
                <c:ptCount val="3"/>
                <c:pt idx="2">
                  <c:v>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444-42DB-91F8-16BD8D1EFB82}"/>
            </c:ext>
          </c:extLst>
        </c:ser>
        <c:ser>
          <c:idx val="13"/>
          <c:order val="13"/>
          <c:tx>
            <c:strRef>
              <c:f>多维度数据透视分析!$O$61:$O$63</c:f>
              <c:strCache>
                <c:ptCount val="1"/>
                <c:pt idx="0">
                  <c:v>5月 - 求和项:总续费金额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多维度数据透视分析!$A$64:$A$68</c:f>
              <c:multiLvlStrCache>
                <c:ptCount val="3"/>
                <c:lvl>
                  <c:pt idx="0">
                    <c:v>c++</c:v>
                  </c:pt>
                  <c:pt idx="1">
                    <c:v>Python</c:v>
                  </c:pt>
                  <c:pt idx="2">
                    <c:v>scratch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多维度数据透视分析!$O$64:$O$68</c:f>
              <c:numCache>
                <c:formatCode>General</c:formatCode>
                <c:ptCount val="3"/>
                <c:pt idx="2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444-42DB-91F8-16BD8D1EFB82}"/>
            </c:ext>
          </c:extLst>
        </c:ser>
        <c:ser>
          <c:idx val="14"/>
          <c:order val="14"/>
          <c:tx>
            <c:strRef>
              <c:f>多维度数据透视分析!$P$61:$P$63</c:f>
              <c:strCache>
                <c:ptCount val="1"/>
                <c:pt idx="0">
                  <c:v>5月 - 平均值项:学员生命周期价值 (LTV)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多维度数据透视分析!$A$64:$A$68</c:f>
              <c:multiLvlStrCache>
                <c:ptCount val="3"/>
                <c:lvl>
                  <c:pt idx="0">
                    <c:v>c++</c:v>
                  </c:pt>
                  <c:pt idx="1">
                    <c:v>Python</c:v>
                  </c:pt>
                  <c:pt idx="2">
                    <c:v>scratch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多维度数据透视分析!$P$64:$P$68</c:f>
              <c:numCache>
                <c:formatCode>General</c:formatCode>
                <c:ptCount val="3"/>
                <c:pt idx="2">
                  <c:v>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444-42DB-91F8-16BD8D1EFB82}"/>
            </c:ext>
          </c:extLst>
        </c:ser>
        <c:ser>
          <c:idx val="15"/>
          <c:order val="15"/>
          <c:tx>
            <c:strRef>
              <c:f>多维度数据透视分析!$Q$61:$Q$63</c:f>
              <c:strCache>
                <c:ptCount val="1"/>
                <c:pt idx="0">
                  <c:v>6月 - 求和项:首次缴费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多维度数据透视分析!$A$64:$A$68</c:f>
              <c:multiLvlStrCache>
                <c:ptCount val="3"/>
                <c:lvl>
                  <c:pt idx="0">
                    <c:v>c++</c:v>
                  </c:pt>
                  <c:pt idx="1">
                    <c:v>Python</c:v>
                  </c:pt>
                  <c:pt idx="2">
                    <c:v>scratch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多维度数据透视分析!$Q$64:$Q$68</c:f>
              <c:numCache>
                <c:formatCode>General</c:formatCode>
                <c:ptCount val="3"/>
                <c:pt idx="1">
                  <c:v>1200</c:v>
                </c:pt>
                <c:pt idx="2">
                  <c:v>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444-42DB-91F8-16BD8D1EFB82}"/>
            </c:ext>
          </c:extLst>
        </c:ser>
        <c:ser>
          <c:idx val="16"/>
          <c:order val="16"/>
          <c:tx>
            <c:strRef>
              <c:f>多维度数据透视分析!$R$61:$R$63</c:f>
              <c:strCache>
                <c:ptCount val="1"/>
                <c:pt idx="0">
                  <c:v>6月 - 求和项:总续费金额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多维度数据透视分析!$A$64:$A$68</c:f>
              <c:multiLvlStrCache>
                <c:ptCount val="3"/>
                <c:lvl>
                  <c:pt idx="0">
                    <c:v>c++</c:v>
                  </c:pt>
                  <c:pt idx="1">
                    <c:v>Python</c:v>
                  </c:pt>
                  <c:pt idx="2">
                    <c:v>scratch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多维度数据透视分析!$R$64:$R$68</c:f>
              <c:numCache>
                <c:formatCode>General</c:formatCode>
                <c:ptCount val="3"/>
                <c:pt idx="1">
                  <c:v>2400</c:v>
                </c:pt>
                <c:pt idx="2">
                  <c:v>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444-42DB-91F8-16BD8D1EFB82}"/>
            </c:ext>
          </c:extLst>
        </c:ser>
        <c:ser>
          <c:idx val="17"/>
          <c:order val="17"/>
          <c:tx>
            <c:strRef>
              <c:f>多维度数据透视分析!$S$61:$S$63</c:f>
              <c:strCache>
                <c:ptCount val="1"/>
                <c:pt idx="0">
                  <c:v>6月 - 平均值项:学员生命周期价值 (LTV)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多维度数据透视分析!$A$64:$A$68</c:f>
              <c:multiLvlStrCache>
                <c:ptCount val="3"/>
                <c:lvl>
                  <c:pt idx="0">
                    <c:v>c++</c:v>
                  </c:pt>
                  <c:pt idx="1">
                    <c:v>Python</c:v>
                  </c:pt>
                  <c:pt idx="2">
                    <c:v>scratch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多维度数据透视分析!$S$64:$S$68</c:f>
              <c:numCache>
                <c:formatCode>General</c:formatCode>
                <c:ptCount val="3"/>
                <c:pt idx="1">
                  <c:v>3600</c:v>
                </c:pt>
                <c:pt idx="2">
                  <c:v>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444-42DB-91F8-16BD8D1EFB82}"/>
            </c:ext>
          </c:extLst>
        </c:ser>
        <c:ser>
          <c:idx val="18"/>
          <c:order val="18"/>
          <c:tx>
            <c:strRef>
              <c:f>多维度数据透视分析!$T$61:$T$63</c:f>
              <c:strCache>
                <c:ptCount val="1"/>
                <c:pt idx="0">
                  <c:v>7月 - 求和项:首次缴费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多维度数据透视分析!$A$64:$A$68</c:f>
              <c:multiLvlStrCache>
                <c:ptCount val="3"/>
                <c:lvl>
                  <c:pt idx="0">
                    <c:v>c++</c:v>
                  </c:pt>
                  <c:pt idx="1">
                    <c:v>Python</c:v>
                  </c:pt>
                  <c:pt idx="2">
                    <c:v>scratch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多维度数据透视分析!$T$64:$T$68</c:f>
              <c:numCache>
                <c:formatCode>General</c:formatCode>
                <c:ptCount val="3"/>
                <c:pt idx="1">
                  <c:v>1200</c:v>
                </c:pt>
                <c:pt idx="2">
                  <c:v>9600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F444-42DB-91F8-16BD8D1EFB82}"/>
            </c:ext>
          </c:extLst>
        </c:ser>
        <c:ser>
          <c:idx val="19"/>
          <c:order val="19"/>
          <c:tx>
            <c:strRef>
              <c:f>多维度数据透视分析!$U$61:$U$63</c:f>
              <c:strCache>
                <c:ptCount val="1"/>
                <c:pt idx="0">
                  <c:v>7月 - 求和项:总续费金额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多维度数据透视分析!$A$64:$A$68</c:f>
              <c:multiLvlStrCache>
                <c:ptCount val="3"/>
                <c:lvl>
                  <c:pt idx="0">
                    <c:v>c++</c:v>
                  </c:pt>
                  <c:pt idx="1">
                    <c:v>Python</c:v>
                  </c:pt>
                  <c:pt idx="2">
                    <c:v>scratch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多维度数据透视分析!$U$64:$U$68</c:f>
              <c:numCache>
                <c:formatCode>General</c:formatCode>
                <c:ptCount val="3"/>
                <c:pt idx="1">
                  <c:v>2400</c:v>
                </c:pt>
                <c:pt idx="2">
                  <c:v>6600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444-42DB-91F8-16BD8D1EFB82}"/>
            </c:ext>
          </c:extLst>
        </c:ser>
        <c:ser>
          <c:idx val="20"/>
          <c:order val="20"/>
          <c:tx>
            <c:strRef>
              <c:f>多维度数据透视分析!$V$61:$V$63</c:f>
              <c:strCache>
                <c:ptCount val="1"/>
                <c:pt idx="0">
                  <c:v>7月 - 平均值项:学员生命周期价值 (LTV)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多维度数据透视分析!$A$64:$A$68</c:f>
              <c:multiLvlStrCache>
                <c:ptCount val="3"/>
                <c:lvl>
                  <c:pt idx="0">
                    <c:v>c++</c:v>
                  </c:pt>
                  <c:pt idx="1">
                    <c:v>Python</c:v>
                  </c:pt>
                  <c:pt idx="2">
                    <c:v>scratch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多维度数据透视分析!$V$64:$V$68</c:f>
              <c:numCache>
                <c:formatCode>General</c:formatCode>
                <c:ptCount val="3"/>
                <c:pt idx="1">
                  <c:v>3600</c:v>
                </c:pt>
                <c:pt idx="2">
                  <c:v>3240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F444-42DB-91F8-16BD8D1EFB82}"/>
            </c:ext>
          </c:extLst>
        </c:ser>
        <c:ser>
          <c:idx val="21"/>
          <c:order val="21"/>
          <c:tx>
            <c:strRef>
              <c:f>多维度数据透视分析!$W$61:$W$63</c:f>
              <c:strCache>
                <c:ptCount val="1"/>
                <c:pt idx="0">
                  <c:v>8月 - 求和项:首次缴费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多维度数据透视分析!$A$64:$A$68</c:f>
              <c:multiLvlStrCache>
                <c:ptCount val="3"/>
                <c:lvl>
                  <c:pt idx="0">
                    <c:v>c++</c:v>
                  </c:pt>
                  <c:pt idx="1">
                    <c:v>Python</c:v>
                  </c:pt>
                  <c:pt idx="2">
                    <c:v>scratch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多维度数据透视分析!$W$64:$W$68</c:f>
              <c:numCache>
                <c:formatCode>General</c:formatCode>
                <c:ptCount val="3"/>
                <c:pt idx="0">
                  <c:v>9000</c:v>
                </c:pt>
                <c:pt idx="1">
                  <c:v>1200</c:v>
                </c:pt>
                <c:pt idx="2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444-42DB-91F8-16BD8D1EFB82}"/>
            </c:ext>
          </c:extLst>
        </c:ser>
        <c:ser>
          <c:idx val="22"/>
          <c:order val="22"/>
          <c:tx>
            <c:strRef>
              <c:f>多维度数据透视分析!$X$61:$X$63</c:f>
              <c:strCache>
                <c:ptCount val="1"/>
                <c:pt idx="0">
                  <c:v>8月 - 求和项:总续费金额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多维度数据透视分析!$A$64:$A$68</c:f>
              <c:multiLvlStrCache>
                <c:ptCount val="3"/>
                <c:lvl>
                  <c:pt idx="0">
                    <c:v>c++</c:v>
                  </c:pt>
                  <c:pt idx="1">
                    <c:v>Python</c:v>
                  </c:pt>
                  <c:pt idx="2">
                    <c:v>scratch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多维度数据透视分析!$X$64:$X$68</c:f>
              <c:numCache>
                <c:formatCode>General</c:formatCode>
                <c:ptCount val="3"/>
                <c:pt idx="0">
                  <c:v>4200</c:v>
                </c:pt>
                <c:pt idx="1">
                  <c:v>1200</c:v>
                </c:pt>
                <c:pt idx="2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F444-42DB-91F8-16BD8D1EFB82}"/>
            </c:ext>
          </c:extLst>
        </c:ser>
        <c:ser>
          <c:idx val="23"/>
          <c:order val="23"/>
          <c:tx>
            <c:strRef>
              <c:f>多维度数据透视分析!$Y$61:$Y$63</c:f>
              <c:strCache>
                <c:ptCount val="1"/>
                <c:pt idx="0">
                  <c:v>8月 - 平均值项:学员生命周期价值 (LTV)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多维度数据透视分析!$A$64:$A$68</c:f>
              <c:multiLvlStrCache>
                <c:ptCount val="3"/>
                <c:lvl>
                  <c:pt idx="0">
                    <c:v>c++</c:v>
                  </c:pt>
                  <c:pt idx="1">
                    <c:v>Python</c:v>
                  </c:pt>
                  <c:pt idx="2">
                    <c:v>scratch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多维度数据透视分析!$Y$64:$Y$68</c:f>
              <c:numCache>
                <c:formatCode>General</c:formatCode>
                <c:ptCount val="3"/>
                <c:pt idx="0">
                  <c:v>2640</c:v>
                </c:pt>
                <c:pt idx="1">
                  <c:v>2400</c:v>
                </c:pt>
                <c:pt idx="2">
                  <c:v>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444-42DB-91F8-16BD8D1EFB82}"/>
            </c:ext>
          </c:extLst>
        </c:ser>
        <c:ser>
          <c:idx val="24"/>
          <c:order val="24"/>
          <c:tx>
            <c:strRef>
              <c:f>多维度数据透视分析!$Z$61:$Z$63</c:f>
              <c:strCache>
                <c:ptCount val="1"/>
                <c:pt idx="0">
                  <c:v>9月 - 求和项:首次缴费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多维度数据透视分析!$A$64:$A$68</c:f>
              <c:multiLvlStrCache>
                <c:ptCount val="3"/>
                <c:lvl>
                  <c:pt idx="0">
                    <c:v>c++</c:v>
                  </c:pt>
                  <c:pt idx="1">
                    <c:v>Python</c:v>
                  </c:pt>
                  <c:pt idx="2">
                    <c:v>scratch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多维度数据透视分析!$Z$64:$Z$68</c:f>
              <c:numCache>
                <c:formatCode>General</c:formatCode>
                <c:ptCount val="3"/>
                <c:pt idx="1">
                  <c:v>2400</c:v>
                </c:pt>
                <c:pt idx="2">
                  <c:v>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F444-42DB-91F8-16BD8D1EFB82}"/>
            </c:ext>
          </c:extLst>
        </c:ser>
        <c:ser>
          <c:idx val="25"/>
          <c:order val="25"/>
          <c:tx>
            <c:strRef>
              <c:f>多维度数据透视分析!$AA$61:$AA$63</c:f>
              <c:strCache>
                <c:ptCount val="1"/>
                <c:pt idx="0">
                  <c:v>9月 - 求和项:总续费金额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多维度数据透视分析!$A$64:$A$68</c:f>
              <c:multiLvlStrCache>
                <c:ptCount val="3"/>
                <c:lvl>
                  <c:pt idx="0">
                    <c:v>c++</c:v>
                  </c:pt>
                  <c:pt idx="1">
                    <c:v>Python</c:v>
                  </c:pt>
                  <c:pt idx="2">
                    <c:v>scratch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多维度数据透视分析!$AA$64:$AA$68</c:f>
              <c:numCache>
                <c:formatCode>General</c:formatCode>
                <c:ptCount val="3"/>
                <c:pt idx="1">
                  <c:v>0</c:v>
                </c:pt>
                <c:pt idx="2">
                  <c:v>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F444-42DB-91F8-16BD8D1EFB82}"/>
            </c:ext>
          </c:extLst>
        </c:ser>
        <c:ser>
          <c:idx val="26"/>
          <c:order val="26"/>
          <c:tx>
            <c:strRef>
              <c:f>多维度数据透视分析!$AB$61:$AB$63</c:f>
              <c:strCache>
                <c:ptCount val="1"/>
                <c:pt idx="0">
                  <c:v>9月 - 平均值项:学员生命周期价值 (LTV)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多维度数据透视分析!$A$64:$A$68</c:f>
              <c:multiLvlStrCache>
                <c:ptCount val="3"/>
                <c:lvl>
                  <c:pt idx="0">
                    <c:v>c++</c:v>
                  </c:pt>
                  <c:pt idx="1">
                    <c:v>Python</c:v>
                  </c:pt>
                  <c:pt idx="2">
                    <c:v>scratch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多维度数据透视分析!$AB$64:$AB$68</c:f>
              <c:numCache>
                <c:formatCode>General</c:formatCode>
                <c:ptCount val="3"/>
                <c:pt idx="1">
                  <c:v>2400</c:v>
                </c:pt>
                <c:pt idx="2">
                  <c:v>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F444-42DB-91F8-16BD8D1EFB82}"/>
            </c:ext>
          </c:extLst>
        </c:ser>
        <c:ser>
          <c:idx val="27"/>
          <c:order val="27"/>
          <c:tx>
            <c:strRef>
              <c:f>多维度数据透视分析!$AC$61:$AC$63</c:f>
              <c:strCache>
                <c:ptCount val="1"/>
                <c:pt idx="0">
                  <c:v>10月 - 求和项:首次缴费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多维度数据透视分析!$A$64:$A$68</c:f>
              <c:multiLvlStrCache>
                <c:ptCount val="3"/>
                <c:lvl>
                  <c:pt idx="0">
                    <c:v>c++</c:v>
                  </c:pt>
                  <c:pt idx="1">
                    <c:v>Python</c:v>
                  </c:pt>
                  <c:pt idx="2">
                    <c:v>scratch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多维度数据透视分析!$AC$64:$AC$68</c:f>
              <c:numCache>
                <c:formatCode>General</c:formatCode>
                <c:ptCount val="3"/>
                <c:pt idx="2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F444-42DB-91F8-16BD8D1EFB82}"/>
            </c:ext>
          </c:extLst>
        </c:ser>
        <c:ser>
          <c:idx val="28"/>
          <c:order val="28"/>
          <c:tx>
            <c:strRef>
              <c:f>多维度数据透视分析!$AD$61:$AD$63</c:f>
              <c:strCache>
                <c:ptCount val="1"/>
                <c:pt idx="0">
                  <c:v>10月 - 求和项:总续费金额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多维度数据透视分析!$A$64:$A$68</c:f>
              <c:multiLvlStrCache>
                <c:ptCount val="3"/>
                <c:lvl>
                  <c:pt idx="0">
                    <c:v>c++</c:v>
                  </c:pt>
                  <c:pt idx="1">
                    <c:v>Python</c:v>
                  </c:pt>
                  <c:pt idx="2">
                    <c:v>scratch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多维度数据透视分析!$AD$64:$AD$68</c:f>
              <c:numCache>
                <c:formatCode>General</c:formatCode>
                <c:ptCount val="3"/>
                <c:pt idx="2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F444-42DB-91F8-16BD8D1EFB82}"/>
            </c:ext>
          </c:extLst>
        </c:ser>
        <c:ser>
          <c:idx val="29"/>
          <c:order val="29"/>
          <c:tx>
            <c:strRef>
              <c:f>多维度数据透视分析!$AE$61:$AE$63</c:f>
              <c:strCache>
                <c:ptCount val="1"/>
                <c:pt idx="0">
                  <c:v>10月 - 平均值项:学员生命周期价值 (LTV)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多维度数据透视分析!$A$64:$A$68</c:f>
              <c:multiLvlStrCache>
                <c:ptCount val="3"/>
                <c:lvl>
                  <c:pt idx="0">
                    <c:v>c++</c:v>
                  </c:pt>
                  <c:pt idx="1">
                    <c:v>Python</c:v>
                  </c:pt>
                  <c:pt idx="2">
                    <c:v>scratch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多维度数据透视分析!$AE$64:$AE$68</c:f>
              <c:numCache>
                <c:formatCode>General</c:formatCode>
                <c:ptCount val="3"/>
                <c:pt idx="2">
                  <c:v>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F444-42DB-91F8-16BD8D1EF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2286192"/>
        <c:axId val="892286672"/>
      </c:barChart>
      <c:catAx>
        <c:axId val="89228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92286672"/>
        <c:crosses val="autoZero"/>
        <c:auto val="1"/>
        <c:lblAlgn val="ctr"/>
        <c:lblOffset val="100"/>
        <c:noMultiLvlLbl val="0"/>
      </c:catAx>
      <c:valAx>
        <c:axId val="89228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9228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[学生基本信息.xlsx]多维度数据透视分析!数据透视表5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多维度数据透视分析!$B$97</c:f>
              <c:strCache>
                <c:ptCount val="1"/>
                <c:pt idx="0">
                  <c:v>计数项:学员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多维度数据透视分析!$A$98:$A$102</c:f>
              <c:multiLvlStrCache>
                <c:ptCount val="3"/>
                <c:lvl>
                  <c:pt idx="0">
                    <c:v>低价值</c:v>
                  </c:pt>
                  <c:pt idx="1">
                    <c:v>高价值</c:v>
                  </c:pt>
                  <c:pt idx="2">
                    <c:v>中价值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多维度数据透视分析!$B$98:$B$102</c:f>
              <c:numCache>
                <c:formatCode>General</c:formatCode>
                <c:ptCount val="3"/>
                <c:pt idx="0">
                  <c:v>10</c:v>
                </c:pt>
                <c:pt idx="1">
                  <c:v>3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51-4EDC-BDB7-488B4C25D726}"/>
            </c:ext>
          </c:extLst>
        </c:ser>
        <c:ser>
          <c:idx val="1"/>
          <c:order val="1"/>
          <c:tx>
            <c:strRef>
              <c:f>多维度数据透视分析!$C$97</c:f>
              <c:strCache>
                <c:ptCount val="1"/>
                <c:pt idx="0">
                  <c:v>求和项:首次缴费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多维度数据透视分析!$A$98:$A$102</c:f>
              <c:multiLvlStrCache>
                <c:ptCount val="3"/>
                <c:lvl>
                  <c:pt idx="0">
                    <c:v>低价值</c:v>
                  </c:pt>
                  <c:pt idx="1">
                    <c:v>高价值</c:v>
                  </c:pt>
                  <c:pt idx="2">
                    <c:v>中价值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多维度数据透视分析!$C$98:$C$102</c:f>
              <c:numCache>
                <c:formatCode>General</c:formatCode>
                <c:ptCount val="3"/>
                <c:pt idx="0">
                  <c:v>14400</c:v>
                </c:pt>
                <c:pt idx="1">
                  <c:v>6400</c:v>
                </c:pt>
                <c:pt idx="2">
                  <c:v>32400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51-4EDC-BDB7-488B4C25D726}"/>
            </c:ext>
          </c:extLst>
        </c:ser>
        <c:ser>
          <c:idx val="2"/>
          <c:order val="2"/>
          <c:tx>
            <c:strRef>
              <c:f>多维度数据透视分析!$D$97</c:f>
              <c:strCache>
                <c:ptCount val="1"/>
                <c:pt idx="0">
                  <c:v>求和项:总续费金额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多维度数据透视分析!$A$98:$A$102</c:f>
              <c:multiLvlStrCache>
                <c:ptCount val="3"/>
                <c:lvl>
                  <c:pt idx="0">
                    <c:v>低价值</c:v>
                  </c:pt>
                  <c:pt idx="1">
                    <c:v>高价值</c:v>
                  </c:pt>
                  <c:pt idx="2">
                    <c:v>中价值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多维度数据透视分析!$D$98:$D$102</c:f>
              <c:numCache>
                <c:formatCode>General</c:formatCode>
                <c:ptCount val="3"/>
                <c:pt idx="0">
                  <c:v>9600</c:v>
                </c:pt>
                <c:pt idx="1">
                  <c:v>10800</c:v>
                </c:pt>
                <c:pt idx="2">
                  <c:v>41400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51-4EDC-BDB7-488B4C25D726}"/>
            </c:ext>
          </c:extLst>
        </c:ser>
        <c:ser>
          <c:idx val="3"/>
          <c:order val="3"/>
          <c:tx>
            <c:strRef>
              <c:f>多维度数据透视分析!$E$97</c:f>
              <c:strCache>
                <c:ptCount val="1"/>
                <c:pt idx="0">
                  <c:v>求和项:合计总收入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多维度数据透视分析!$A$98:$A$102</c:f>
              <c:multiLvlStrCache>
                <c:ptCount val="3"/>
                <c:lvl>
                  <c:pt idx="0">
                    <c:v>低价值</c:v>
                  </c:pt>
                  <c:pt idx="1">
                    <c:v>高价值</c:v>
                  </c:pt>
                  <c:pt idx="2">
                    <c:v>中价值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多维度数据透视分析!$E$98:$E$102</c:f>
              <c:numCache>
                <c:formatCode>General</c:formatCode>
                <c:ptCount val="3"/>
                <c:pt idx="0">
                  <c:v>24000</c:v>
                </c:pt>
                <c:pt idx="1">
                  <c:v>17200</c:v>
                </c:pt>
                <c:pt idx="2">
                  <c:v>73800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51-4EDC-BDB7-488B4C25D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2798511"/>
        <c:axId val="692811951"/>
      </c:barChart>
      <c:catAx>
        <c:axId val="692798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2811951"/>
        <c:crosses val="autoZero"/>
        <c:auto val="1"/>
        <c:lblAlgn val="ctr"/>
        <c:lblOffset val="100"/>
        <c:noMultiLvlLbl val="0"/>
      </c:catAx>
      <c:valAx>
        <c:axId val="69281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2798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[学生基本信息.xlsx]多维度数据透视分析!数据透视表6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多维度数据透视分析!$B$124</c:f>
              <c:strCache>
                <c:ptCount val="1"/>
                <c:pt idx="0">
                  <c:v>计数项:学员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多维度数据透视分析!$A$125:$A$130</c:f>
              <c:multiLvlStrCache>
                <c:ptCount val="3"/>
                <c:lvl>
                  <c:pt idx="0">
                    <c:v>否</c:v>
                  </c:pt>
                  <c:pt idx="1">
                    <c:v>否</c:v>
                  </c:pt>
                  <c:pt idx="2">
                    <c:v>是</c:v>
                  </c:pt>
                </c:lvl>
                <c:lvl>
                  <c:pt idx="0">
                    <c:v>否</c:v>
                  </c:pt>
                  <c:pt idx="1">
                    <c:v>是</c:v>
                  </c:pt>
                </c:lvl>
              </c:multiLvlStrCache>
            </c:multiLvlStrRef>
          </c:cat>
          <c:val>
            <c:numRef>
              <c:f>多维度数据透视分析!$B$125:$B$130</c:f>
              <c:numCache>
                <c:formatCode>General</c:formatCode>
                <c:ptCount val="3"/>
                <c:pt idx="0">
                  <c:v>1</c:v>
                </c:pt>
                <c:pt idx="1">
                  <c:v>23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EA-488B-8D32-E59A76816510}"/>
            </c:ext>
          </c:extLst>
        </c:ser>
        <c:ser>
          <c:idx val="1"/>
          <c:order val="1"/>
          <c:tx>
            <c:strRef>
              <c:f>多维度数据透视分析!$C$124</c:f>
              <c:strCache>
                <c:ptCount val="1"/>
                <c:pt idx="0">
                  <c:v>平均值项:学员生命周期价值 (LTV)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多维度数据透视分析!$A$125:$A$130</c:f>
              <c:multiLvlStrCache>
                <c:ptCount val="3"/>
                <c:lvl>
                  <c:pt idx="0">
                    <c:v>否</c:v>
                  </c:pt>
                  <c:pt idx="1">
                    <c:v>否</c:v>
                  </c:pt>
                  <c:pt idx="2">
                    <c:v>是</c:v>
                  </c:pt>
                </c:lvl>
                <c:lvl>
                  <c:pt idx="0">
                    <c:v>否</c:v>
                  </c:pt>
                  <c:pt idx="1">
                    <c:v>是</c:v>
                  </c:pt>
                </c:lvl>
              </c:multiLvlStrCache>
            </c:multiLvlStrRef>
          </c:cat>
          <c:val>
            <c:numRef>
              <c:f>多维度数据透视分析!$C$125:$C$130</c:f>
              <c:numCache>
                <c:formatCode>General</c:formatCode>
                <c:ptCount val="3"/>
                <c:pt idx="0">
                  <c:v>2400</c:v>
                </c:pt>
                <c:pt idx="1">
                  <c:v>3208.695652173913</c:v>
                </c:pt>
                <c:pt idx="2">
                  <c:v>4850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EA-488B-8D32-E59A76816510}"/>
            </c:ext>
          </c:extLst>
        </c:ser>
        <c:ser>
          <c:idx val="2"/>
          <c:order val="2"/>
          <c:tx>
            <c:strRef>
              <c:f>多维度数据透视分析!$D$124</c:f>
              <c:strCache>
                <c:ptCount val="1"/>
                <c:pt idx="0">
                  <c:v>平均值项:报名到首续费间隔天数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多维度数据透视分析!$A$125:$A$130</c:f>
              <c:multiLvlStrCache>
                <c:ptCount val="3"/>
                <c:lvl>
                  <c:pt idx="0">
                    <c:v>否</c:v>
                  </c:pt>
                  <c:pt idx="1">
                    <c:v>否</c:v>
                  </c:pt>
                  <c:pt idx="2">
                    <c:v>是</c:v>
                  </c:pt>
                </c:lvl>
                <c:lvl>
                  <c:pt idx="0">
                    <c:v>否</c:v>
                  </c:pt>
                  <c:pt idx="1">
                    <c:v>是</c:v>
                  </c:pt>
                </c:lvl>
              </c:multiLvlStrCache>
            </c:multiLvlStrRef>
          </c:cat>
          <c:val>
            <c:numRef>
              <c:f>多维度数据透视分析!$D$125:$D$130</c:f>
              <c:numCache>
                <c:formatCode>General</c:formatCode>
                <c:ptCount val="3"/>
                <c:pt idx="0">
                  <c:v>84</c:v>
                </c:pt>
                <c:pt idx="1">
                  <c:v>124.17391304347827</c:v>
                </c:pt>
                <c:pt idx="2">
                  <c:v>115.5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EA-488B-8D32-E59A76816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9786640"/>
        <c:axId val="1589787120"/>
      </c:barChart>
      <c:catAx>
        <c:axId val="158978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89787120"/>
        <c:crosses val="autoZero"/>
        <c:auto val="1"/>
        <c:lblAlgn val="ctr"/>
        <c:lblOffset val="100"/>
        <c:noMultiLvlLbl val="0"/>
      </c:catAx>
      <c:valAx>
        <c:axId val="158978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8978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[学生基本信息.xlsx]多维度数据透视分析!数据透视表11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多维度数据透视分析!$B$137</c:f>
              <c:strCache>
                <c:ptCount val="1"/>
                <c:pt idx="0">
                  <c:v>汇总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1D-4717-9500-05FE217F4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1D-4717-9500-05FE217F4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C1D-4717-9500-05FE217F421F}"/>
              </c:ext>
            </c:extLst>
          </c:dPt>
          <c:cat>
            <c:multiLvlStrRef>
              <c:f>多维度数据透视分析!$A$138:$A$142</c:f>
              <c:multiLvlStrCache>
                <c:ptCount val="3"/>
                <c:lvl>
                  <c:pt idx="0">
                    <c:v>低价值</c:v>
                  </c:pt>
                  <c:pt idx="1">
                    <c:v>高价值</c:v>
                  </c:pt>
                  <c:pt idx="2">
                    <c:v>中价值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多维度数据透视分析!$B$138:$B$142</c:f>
              <c:numCache>
                <c:formatCode>General</c:formatCode>
                <c:ptCount val="3"/>
                <c:pt idx="0">
                  <c:v>24000</c:v>
                </c:pt>
                <c:pt idx="1">
                  <c:v>17200</c:v>
                </c:pt>
                <c:pt idx="2">
                  <c:v>73800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1C-4A6F-9898-262112366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2025-2026年月度营收与同比增长率分析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年度月度经营汇总表!$F$1</c:f>
              <c:strCache>
                <c:ptCount val="1"/>
                <c:pt idx="0">
                  <c:v>月度总营收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年度月度经营汇总表!$C$2:$C$18</c:f>
              <c:strCache>
                <c:ptCount val="17"/>
                <c:pt idx="0">
                  <c:v>2025年1月</c:v>
                </c:pt>
                <c:pt idx="1">
                  <c:v>2025年2月</c:v>
                </c:pt>
                <c:pt idx="2">
                  <c:v>2025年3月</c:v>
                </c:pt>
                <c:pt idx="3">
                  <c:v>2025年4月</c:v>
                </c:pt>
                <c:pt idx="4">
                  <c:v>2025年5月</c:v>
                </c:pt>
                <c:pt idx="5">
                  <c:v>2025年6月</c:v>
                </c:pt>
                <c:pt idx="6">
                  <c:v>2025年7月</c:v>
                </c:pt>
                <c:pt idx="7">
                  <c:v>2025年8月</c:v>
                </c:pt>
                <c:pt idx="8">
                  <c:v>2025年9月</c:v>
                </c:pt>
                <c:pt idx="9">
                  <c:v>2025年10月</c:v>
                </c:pt>
                <c:pt idx="10">
                  <c:v>2025年11月</c:v>
                </c:pt>
                <c:pt idx="11">
                  <c:v>2025年12月</c:v>
                </c:pt>
                <c:pt idx="12">
                  <c:v>2026年1月</c:v>
                </c:pt>
                <c:pt idx="13">
                  <c:v>2026年2月</c:v>
                </c:pt>
                <c:pt idx="14">
                  <c:v>2026年3月</c:v>
                </c:pt>
                <c:pt idx="15">
                  <c:v>2026年4月</c:v>
                </c:pt>
                <c:pt idx="16">
                  <c:v>2026年5月</c:v>
                </c:pt>
              </c:strCache>
            </c:strRef>
          </c:cat>
          <c:val>
            <c:numRef>
              <c:f>年度月度经营汇总表!$F$2:$F$18</c:f>
              <c:numCache>
                <c:formatCode>General</c:formatCode>
                <c:ptCount val="17"/>
                <c:pt idx="0">
                  <c:v>4800</c:v>
                </c:pt>
                <c:pt idx="1">
                  <c:v>5200</c:v>
                </c:pt>
                <c:pt idx="2">
                  <c:v>3600</c:v>
                </c:pt>
                <c:pt idx="3">
                  <c:v>3600</c:v>
                </c:pt>
                <c:pt idx="4">
                  <c:v>3600</c:v>
                </c:pt>
                <c:pt idx="5">
                  <c:v>11400</c:v>
                </c:pt>
                <c:pt idx="6">
                  <c:v>16800</c:v>
                </c:pt>
                <c:pt idx="7">
                  <c:v>15000</c:v>
                </c:pt>
                <c:pt idx="8">
                  <c:v>12000</c:v>
                </c:pt>
                <c:pt idx="9">
                  <c:v>10800</c:v>
                </c:pt>
                <c:pt idx="10">
                  <c:v>10800</c:v>
                </c:pt>
                <c:pt idx="11">
                  <c:v>12600</c:v>
                </c:pt>
                <c:pt idx="12">
                  <c:v>4200</c:v>
                </c:pt>
                <c:pt idx="13">
                  <c:v>600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6B-4C57-BD31-CA291811D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9109247"/>
        <c:axId val="699111647"/>
      </c:barChart>
      <c:lineChart>
        <c:grouping val="standard"/>
        <c:varyColors val="0"/>
        <c:ser>
          <c:idx val="1"/>
          <c:order val="1"/>
          <c:tx>
            <c:strRef>
              <c:f>年度月度经营汇总表!$H$1</c:f>
              <c:strCache>
                <c:ptCount val="1"/>
                <c:pt idx="0">
                  <c:v>环比增长率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年度月度经营汇总表!$C$2:$C$18</c:f>
              <c:strCache>
                <c:ptCount val="17"/>
                <c:pt idx="0">
                  <c:v>2025年1月</c:v>
                </c:pt>
                <c:pt idx="1">
                  <c:v>2025年2月</c:v>
                </c:pt>
                <c:pt idx="2">
                  <c:v>2025年3月</c:v>
                </c:pt>
                <c:pt idx="3">
                  <c:v>2025年4月</c:v>
                </c:pt>
                <c:pt idx="4">
                  <c:v>2025年5月</c:v>
                </c:pt>
                <c:pt idx="5">
                  <c:v>2025年6月</c:v>
                </c:pt>
                <c:pt idx="6">
                  <c:v>2025年7月</c:v>
                </c:pt>
                <c:pt idx="7">
                  <c:v>2025年8月</c:v>
                </c:pt>
                <c:pt idx="8">
                  <c:v>2025年9月</c:v>
                </c:pt>
                <c:pt idx="9">
                  <c:v>2025年10月</c:v>
                </c:pt>
                <c:pt idx="10">
                  <c:v>2025年11月</c:v>
                </c:pt>
                <c:pt idx="11">
                  <c:v>2025年12月</c:v>
                </c:pt>
                <c:pt idx="12">
                  <c:v>2026年1月</c:v>
                </c:pt>
                <c:pt idx="13">
                  <c:v>2026年2月</c:v>
                </c:pt>
                <c:pt idx="14">
                  <c:v>2026年3月</c:v>
                </c:pt>
                <c:pt idx="15">
                  <c:v>2026年4月</c:v>
                </c:pt>
                <c:pt idx="16">
                  <c:v>2026年5月</c:v>
                </c:pt>
              </c:strCache>
            </c:strRef>
          </c:cat>
          <c:val>
            <c:numRef>
              <c:f>年度月度经营汇总表!$H$2:$H$18</c:f>
              <c:numCache>
                <c:formatCode>0.00%</c:formatCode>
                <c:ptCount val="17"/>
                <c:pt idx="1">
                  <c:v>-0.30769230769230771</c:v>
                </c:pt>
                <c:pt idx="2">
                  <c:v>0</c:v>
                </c:pt>
                <c:pt idx="3">
                  <c:v>0</c:v>
                </c:pt>
                <c:pt idx="4">
                  <c:v>2.1666666666666665</c:v>
                </c:pt>
                <c:pt idx="5">
                  <c:v>0.47368421052631576</c:v>
                </c:pt>
                <c:pt idx="6">
                  <c:v>-0.10714285714285714</c:v>
                </c:pt>
                <c:pt idx="7">
                  <c:v>-0.2</c:v>
                </c:pt>
                <c:pt idx="8">
                  <c:v>-0.1</c:v>
                </c:pt>
                <c:pt idx="9">
                  <c:v>0</c:v>
                </c:pt>
                <c:pt idx="10">
                  <c:v>0.16666666666666666</c:v>
                </c:pt>
                <c:pt idx="11">
                  <c:v>0</c:v>
                </c:pt>
                <c:pt idx="12">
                  <c:v>-0.8571428571428571</c:v>
                </c:pt>
                <c:pt idx="13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6B-4C57-BD31-CA291811D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9126047"/>
        <c:axId val="699106847"/>
      </c:lineChart>
      <c:catAx>
        <c:axId val="699109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9111647"/>
        <c:crosses val="autoZero"/>
        <c:auto val="1"/>
        <c:lblAlgn val="ctr"/>
        <c:lblOffset val="100"/>
        <c:noMultiLvlLbl val="0"/>
      </c:catAx>
      <c:valAx>
        <c:axId val="699111647"/>
        <c:scaling>
          <c:orientation val="minMax"/>
          <c:max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9109247"/>
        <c:crosses val="autoZero"/>
        <c:crossBetween val="between"/>
      </c:valAx>
      <c:valAx>
        <c:axId val="699106847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9126047"/>
        <c:crosses val="max"/>
        <c:crossBetween val="between"/>
      </c:valAx>
      <c:catAx>
        <c:axId val="699126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991068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400" b="0" i="0" u="none" strike="noStrike" baseline="0"/>
              <a:t>2025</a:t>
            </a:r>
            <a:r>
              <a:rPr lang="en-US" altLang="zh-CN" sz="1400" b="0" i="0" u="none" strike="noStrike" baseline="0"/>
              <a:t>-2026</a:t>
            </a:r>
            <a:r>
              <a:rPr lang="zh-CN" altLang="zh-CN" sz="1400" b="0" i="0" u="none" strike="noStrike" baseline="0"/>
              <a:t>年月度新签&amp;续费营收拆分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年度月度经营汇总表!$D$1</c:f>
              <c:strCache>
                <c:ptCount val="1"/>
                <c:pt idx="0">
                  <c:v>当月新签营收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年度月度经营汇总表!$C$2:$C$18</c:f>
              <c:strCache>
                <c:ptCount val="17"/>
                <c:pt idx="0">
                  <c:v>2025年1月</c:v>
                </c:pt>
                <c:pt idx="1">
                  <c:v>2025年2月</c:v>
                </c:pt>
                <c:pt idx="2">
                  <c:v>2025年3月</c:v>
                </c:pt>
                <c:pt idx="3">
                  <c:v>2025年4月</c:v>
                </c:pt>
                <c:pt idx="4">
                  <c:v>2025年5月</c:v>
                </c:pt>
                <c:pt idx="5">
                  <c:v>2025年6月</c:v>
                </c:pt>
                <c:pt idx="6">
                  <c:v>2025年7月</c:v>
                </c:pt>
                <c:pt idx="7">
                  <c:v>2025年8月</c:v>
                </c:pt>
                <c:pt idx="8">
                  <c:v>2025年9月</c:v>
                </c:pt>
                <c:pt idx="9">
                  <c:v>2025年10月</c:v>
                </c:pt>
                <c:pt idx="10">
                  <c:v>2025年11月</c:v>
                </c:pt>
                <c:pt idx="11">
                  <c:v>2025年12月</c:v>
                </c:pt>
                <c:pt idx="12">
                  <c:v>2026年1月</c:v>
                </c:pt>
                <c:pt idx="13">
                  <c:v>2026年2月</c:v>
                </c:pt>
                <c:pt idx="14">
                  <c:v>2026年3月</c:v>
                </c:pt>
                <c:pt idx="15">
                  <c:v>2026年4月</c:v>
                </c:pt>
                <c:pt idx="16">
                  <c:v>2026年5月</c:v>
                </c:pt>
              </c:strCache>
            </c:strRef>
          </c:cat>
          <c:val>
            <c:numRef>
              <c:f>年度月度经营汇总表!$D$2:$D$18</c:f>
              <c:numCache>
                <c:formatCode>General</c:formatCode>
                <c:ptCount val="17"/>
                <c:pt idx="0">
                  <c:v>4800</c:v>
                </c:pt>
                <c:pt idx="1">
                  <c:v>5200</c:v>
                </c:pt>
                <c:pt idx="2">
                  <c:v>3600</c:v>
                </c:pt>
                <c:pt idx="3">
                  <c:v>1200</c:v>
                </c:pt>
                <c:pt idx="4">
                  <c:v>2400</c:v>
                </c:pt>
                <c:pt idx="5">
                  <c:v>6600</c:v>
                </c:pt>
                <c:pt idx="6">
                  <c:v>10800</c:v>
                </c:pt>
                <c:pt idx="7">
                  <c:v>11400</c:v>
                </c:pt>
                <c:pt idx="8">
                  <c:v>6000</c:v>
                </c:pt>
                <c:pt idx="9">
                  <c:v>1200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39-4327-80B4-CBA499FB56F0}"/>
            </c:ext>
          </c:extLst>
        </c:ser>
        <c:ser>
          <c:idx val="1"/>
          <c:order val="1"/>
          <c:tx>
            <c:strRef>
              <c:f>年度月度经营汇总表!$E$1</c:f>
              <c:strCache>
                <c:ptCount val="1"/>
                <c:pt idx="0">
                  <c:v>当月实收续费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年度月度经营汇总表!$C$2:$C$18</c:f>
              <c:strCache>
                <c:ptCount val="17"/>
                <c:pt idx="0">
                  <c:v>2025年1月</c:v>
                </c:pt>
                <c:pt idx="1">
                  <c:v>2025年2月</c:v>
                </c:pt>
                <c:pt idx="2">
                  <c:v>2025年3月</c:v>
                </c:pt>
                <c:pt idx="3">
                  <c:v>2025年4月</c:v>
                </c:pt>
                <c:pt idx="4">
                  <c:v>2025年5月</c:v>
                </c:pt>
                <c:pt idx="5">
                  <c:v>2025年6月</c:v>
                </c:pt>
                <c:pt idx="6">
                  <c:v>2025年7月</c:v>
                </c:pt>
                <c:pt idx="7">
                  <c:v>2025年8月</c:v>
                </c:pt>
                <c:pt idx="8">
                  <c:v>2025年9月</c:v>
                </c:pt>
                <c:pt idx="9">
                  <c:v>2025年10月</c:v>
                </c:pt>
                <c:pt idx="10">
                  <c:v>2025年11月</c:v>
                </c:pt>
                <c:pt idx="11">
                  <c:v>2025年12月</c:v>
                </c:pt>
                <c:pt idx="12">
                  <c:v>2026年1月</c:v>
                </c:pt>
                <c:pt idx="13">
                  <c:v>2026年2月</c:v>
                </c:pt>
                <c:pt idx="14">
                  <c:v>2026年3月</c:v>
                </c:pt>
                <c:pt idx="15">
                  <c:v>2026年4月</c:v>
                </c:pt>
                <c:pt idx="16">
                  <c:v>2026年5月</c:v>
                </c:pt>
              </c:strCache>
            </c:strRef>
          </c:cat>
          <c:val>
            <c:numRef>
              <c:f>年度月度经营汇总表!$E$2:$E$18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2400</c:v>
                </c:pt>
                <c:pt idx="4">
                  <c:v>1200</c:v>
                </c:pt>
                <c:pt idx="5">
                  <c:v>4800</c:v>
                </c:pt>
                <c:pt idx="6">
                  <c:v>6000</c:v>
                </c:pt>
                <c:pt idx="7">
                  <c:v>3600</c:v>
                </c:pt>
                <c:pt idx="8">
                  <c:v>6000</c:v>
                </c:pt>
                <c:pt idx="9">
                  <c:v>9600</c:v>
                </c:pt>
                <c:pt idx="10">
                  <c:v>10800</c:v>
                </c:pt>
                <c:pt idx="11">
                  <c:v>12600</c:v>
                </c:pt>
                <c:pt idx="12">
                  <c:v>4200</c:v>
                </c:pt>
                <c:pt idx="13">
                  <c:v>600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39-4327-80B4-CBA499FB5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9154847"/>
        <c:axId val="699137087"/>
      </c:barChart>
      <c:catAx>
        <c:axId val="699154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9137087"/>
        <c:crosses val="autoZero"/>
        <c:auto val="1"/>
        <c:lblAlgn val="ctr"/>
        <c:lblOffset val="100"/>
        <c:noMultiLvlLbl val="0"/>
      </c:catAx>
      <c:valAx>
        <c:axId val="69913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9154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[学生基本信息.xlsx]多维度数据透视分析!数据透视表1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多维度数据透视分析!$B$23</c:f>
              <c:strCache>
                <c:ptCount val="1"/>
                <c:pt idx="0">
                  <c:v>求和项:当月新签营收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多维度数据透视分析!$A$24:$A$43</c:f>
              <c:multiLvlStrCache>
                <c:ptCount val="17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</c:lvl>
                <c:lvl>
                  <c:pt idx="0">
                    <c:v>2025</c:v>
                  </c:pt>
                  <c:pt idx="12">
                    <c:v>2026</c:v>
                  </c:pt>
                </c:lvl>
              </c:multiLvlStrCache>
            </c:multiLvlStrRef>
          </c:cat>
          <c:val>
            <c:numRef>
              <c:f>多维度数据透视分析!$B$24:$B$43</c:f>
              <c:numCache>
                <c:formatCode>General</c:formatCode>
                <c:ptCount val="17"/>
                <c:pt idx="0">
                  <c:v>4800</c:v>
                </c:pt>
                <c:pt idx="1">
                  <c:v>5200</c:v>
                </c:pt>
                <c:pt idx="2">
                  <c:v>3600</c:v>
                </c:pt>
                <c:pt idx="3">
                  <c:v>1200</c:v>
                </c:pt>
                <c:pt idx="4">
                  <c:v>2400</c:v>
                </c:pt>
                <c:pt idx="5">
                  <c:v>6600</c:v>
                </c:pt>
                <c:pt idx="6">
                  <c:v>10800</c:v>
                </c:pt>
                <c:pt idx="7">
                  <c:v>11400</c:v>
                </c:pt>
                <c:pt idx="8">
                  <c:v>6000</c:v>
                </c:pt>
                <c:pt idx="9">
                  <c:v>1200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43-4598-8140-B1A02D7FBE54}"/>
            </c:ext>
          </c:extLst>
        </c:ser>
        <c:ser>
          <c:idx val="1"/>
          <c:order val="1"/>
          <c:tx>
            <c:strRef>
              <c:f>多维度数据透视分析!$C$23</c:f>
              <c:strCache>
                <c:ptCount val="1"/>
                <c:pt idx="0">
                  <c:v>求和项:当月实收续费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多维度数据透视分析!$A$24:$A$43</c:f>
              <c:multiLvlStrCache>
                <c:ptCount val="17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</c:lvl>
                <c:lvl>
                  <c:pt idx="0">
                    <c:v>2025</c:v>
                  </c:pt>
                  <c:pt idx="12">
                    <c:v>2026</c:v>
                  </c:pt>
                </c:lvl>
              </c:multiLvlStrCache>
            </c:multiLvlStrRef>
          </c:cat>
          <c:val>
            <c:numRef>
              <c:f>多维度数据透视分析!$C$24:$C$43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2400</c:v>
                </c:pt>
                <c:pt idx="4">
                  <c:v>1200</c:v>
                </c:pt>
                <c:pt idx="5">
                  <c:v>4800</c:v>
                </c:pt>
                <c:pt idx="6">
                  <c:v>6000</c:v>
                </c:pt>
                <c:pt idx="7">
                  <c:v>3600</c:v>
                </c:pt>
                <c:pt idx="8">
                  <c:v>6000</c:v>
                </c:pt>
                <c:pt idx="9">
                  <c:v>9600</c:v>
                </c:pt>
                <c:pt idx="10">
                  <c:v>10800</c:v>
                </c:pt>
                <c:pt idx="11">
                  <c:v>12600</c:v>
                </c:pt>
                <c:pt idx="12">
                  <c:v>4200</c:v>
                </c:pt>
                <c:pt idx="13">
                  <c:v>600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43-4598-8140-B1A02D7FBE54}"/>
            </c:ext>
          </c:extLst>
        </c:ser>
        <c:ser>
          <c:idx val="2"/>
          <c:order val="2"/>
          <c:tx>
            <c:strRef>
              <c:f>多维度数据透视分析!$D$23</c:f>
              <c:strCache>
                <c:ptCount val="1"/>
                <c:pt idx="0">
                  <c:v>求和项:月度总营收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多维度数据透视分析!$A$24:$A$43</c:f>
              <c:multiLvlStrCache>
                <c:ptCount val="17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</c:lvl>
                <c:lvl>
                  <c:pt idx="0">
                    <c:v>2025</c:v>
                  </c:pt>
                  <c:pt idx="12">
                    <c:v>2026</c:v>
                  </c:pt>
                </c:lvl>
              </c:multiLvlStrCache>
            </c:multiLvlStrRef>
          </c:cat>
          <c:val>
            <c:numRef>
              <c:f>多维度数据透视分析!$D$24:$D$43</c:f>
              <c:numCache>
                <c:formatCode>General</c:formatCode>
                <c:ptCount val="17"/>
                <c:pt idx="0">
                  <c:v>4800</c:v>
                </c:pt>
                <c:pt idx="1">
                  <c:v>5200</c:v>
                </c:pt>
                <c:pt idx="2">
                  <c:v>3600</c:v>
                </c:pt>
                <c:pt idx="3">
                  <c:v>3600</c:v>
                </c:pt>
                <c:pt idx="4">
                  <c:v>3600</c:v>
                </c:pt>
                <c:pt idx="5">
                  <c:v>11400</c:v>
                </c:pt>
                <c:pt idx="6">
                  <c:v>16800</c:v>
                </c:pt>
                <c:pt idx="7">
                  <c:v>15000</c:v>
                </c:pt>
                <c:pt idx="8">
                  <c:v>12000</c:v>
                </c:pt>
                <c:pt idx="9">
                  <c:v>10800</c:v>
                </c:pt>
                <c:pt idx="10">
                  <c:v>10800</c:v>
                </c:pt>
                <c:pt idx="11">
                  <c:v>12600</c:v>
                </c:pt>
                <c:pt idx="12">
                  <c:v>4200</c:v>
                </c:pt>
                <c:pt idx="13">
                  <c:v>600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43-4598-8140-B1A02D7FB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4051360"/>
        <c:axId val="894025920"/>
      </c:barChart>
      <c:catAx>
        <c:axId val="894051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94025920"/>
        <c:crosses val="autoZero"/>
        <c:auto val="1"/>
        <c:lblAlgn val="ctr"/>
        <c:lblOffset val="100"/>
        <c:noMultiLvlLbl val="0"/>
      </c:catAx>
      <c:valAx>
        <c:axId val="89402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94051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[学生基本信息.xlsx]多维度数据透视分析!数据透视表5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多维度数据透视分析!$B$97</c:f>
              <c:strCache>
                <c:ptCount val="1"/>
                <c:pt idx="0">
                  <c:v>计数项:学员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多维度数据透视分析!$A$98:$A$102</c:f>
              <c:multiLvlStrCache>
                <c:ptCount val="3"/>
                <c:lvl>
                  <c:pt idx="0">
                    <c:v>低价值</c:v>
                  </c:pt>
                  <c:pt idx="1">
                    <c:v>高价值</c:v>
                  </c:pt>
                  <c:pt idx="2">
                    <c:v>中价值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多维度数据透视分析!$B$98:$B$102</c:f>
              <c:numCache>
                <c:formatCode>General</c:formatCode>
                <c:ptCount val="3"/>
                <c:pt idx="0">
                  <c:v>10</c:v>
                </c:pt>
                <c:pt idx="1">
                  <c:v>3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7C-4ADC-A516-C48A6F3FD6FB}"/>
            </c:ext>
          </c:extLst>
        </c:ser>
        <c:ser>
          <c:idx val="1"/>
          <c:order val="1"/>
          <c:tx>
            <c:strRef>
              <c:f>多维度数据透视分析!$C$97</c:f>
              <c:strCache>
                <c:ptCount val="1"/>
                <c:pt idx="0">
                  <c:v>求和项:首次缴费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多维度数据透视分析!$A$98:$A$102</c:f>
              <c:multiLvlStrCache>
                <c:ptCount val="3"/>
                <c:lvl>
                  <c:pt idx="0">
                    <c:v>低价值</c:v>
                  </c:pt>
                  <c:pt idx="1">
                    <c:v>高价值</c:v>
                  </c:pt>
                  <c:pt idx="2">
                    <c:v>中价值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多维度数据透视分析!$C$98:$C$102</c:f>
              <c:numCache>
                <c:formatCode>General</c:formatCode>
                <c:ptCount val="3"/>
                <c:pt idx="0">
                  <c:v>14400</c:v>
                </c:pt>
                <c:pt idx="1">
                  <c:v>6400</c:v>
                </c:pt>
                <c:pt idx="2">
                  <c:v>32400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7C-4ADC-A516-C48A6F3FD6FB}"/>
            </c:ext>
          </c:extLst>
        </c:ser>
        <c:ser>
          <c:idx val="2"/>
          <c:order val="2"/>
          <c:tx>
            <c:strRef>
              <c:f>多维度数据透视分析!$D$97</c:f>
              <c:strCache>
                <c:ptCount val="1"/>
                <c:pt idx="0">
                  <c:v>求和项:总续费金额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多维度数据透视分析!$A$98:$A$102</c:f>
              <c:multiLvlStrCache>
                <c:ptCount val="3"/>
                <c:lvl>
                  <c:pt idx="0">
                    <c:v>低价值</c:v>
                  </c:pt>
                  <c:pt idx="1">
                    <c:v>高价值</c:v>
                  </c:pt>
                  <c:pt idx="2">
                    <c:v>中价值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多维度数据透视分析!$D$98:$D$102</c:f>
              <c:numCache>
                <c:formatCode>General</c:formatCode>
                <c:ptCount val="3"/>
                <c:pt idx="0">
                  <c:v>9600</c:v>
                </c:pt>
                <c:pt idx="1">
                  <c:v>10800</c:v>
                </c:pt>
                <c:pt idx="2">
                  <c:v>41400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7C-4ADC-A516-C48A6F3FD6FB}"/>
            </c:ext>
          </c:extLst>
        </c:ser>
        <c:ser>
          <c:idx val="3"/>
          <c:order val="3"/>
          <c:tx>
            <c:strRef>
              <c:f>多维度数据透视分析!$E$97</c:f>
              <c:strCache>
                <c:ptCount val="1"/>
                <c:pt idx="0">
                  <c:v>求和项:合计总收入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多维度数据透视分析!$A$98:$A$102</c:f>
              <c:multiLvlStrCache>
                <c:ptCount val="3"/>
                <c:lvl>
                  <c:pt idx="0">
                    <c:v>低价值</c:v>
                  </c:pt>
                  <c:pt idx="1">
                    <c:v>高价值</c:v>
                  </c:pt>
                  <c:pt idx="2">
                    <c:v>中价值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多维度数据透视分析!$E$98:$E$102</c:f>
              <c:numCache>
                <c:formatCode>General</c:formatCode>
                <c:ptCount val="3"/>
                <c:pt idx="0">
                  <c:v>24000</c:v>
                </c:pt>
                <c:pt idx="1">
                  <c:v>17200</c:v>
                </c:pt>
                <c:pt idx="2">
                  <c:v>73800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7C-4ADC-A516-C48A6F3FD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2798511"/>
        <c:axId val="692811951"/>
      </c:barChart>
      <c:catAx>
        <c:axId val="692798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2811951"/>
        <c:crosses val="autoZero"/>
        <c:auto val="1"/>
        <c:lblAlgn val="ctr"/>
        <c:lblOffset val="100"/>
        <c:noMultiLvlLbl val="0"/>
      </c:catAx>
      <c:valAx>
        <c:axId val="69281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2798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[学生基本信息.xlsx]多维度数据透视分析!数据透视表11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学员价值分层营收占比</a:t>
            </a:r>
            <a:endParaRPr lang="en-US" altLang="zh-CN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多维度数据透视分析!$B$137</c:f>
              <c:strCache>
                <c:ptCount val="1"/>
                <c:pt idx="0">
                  <c:v>汇总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DEB-42FB-B8A0-C5E5D65335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DEB-42FB-B8A0-C5E5D653350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DEB-42FB-B8A0-C5E5D65335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多维度数据透视分析!$A$138:$A$142</c:f>
              <c:multiLvlStrCache>
                <c:ptCount val="3"/>
                <c:lvl>
                  <c:pt idx="0">
                    <c:v>低价值</c:v>
                  </c:pt>
                  <c:pt idx="1">
                    <c:v>高价值</c:v>
                  </c:pt>
                  <c:pt idx="2">
                    <c:v>中价值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多维度数据透视分析!$B$138:$B$142</c:f>
              <c:numCache>
                <c:formatCode>General</c:formatCode>
                <c:ptCount val="3"/>
                <c:pt idx="0">
                  <c:v>24000</c:v>
                </c:pt>
                <c:pt idx="1">
                  <c:v>17200</c:v>
                </c:pt>
                <c:pt idx="2">
                  <c:v>73800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DEB-42FB-B8A0-C5E5D6533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83820</xdr:rowOff>
    </xdr:from>
    <xdr:to>
      <xdr:col>4</xdr:col>
      <xdr:colOff>2133600</xdr:colOff>
      <xdr:row>21</xdr:row>
      <xdr:rowOff>22860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8FDEC38-6B0F-EA26-4C6E-3CC5DFB583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43</xdr:row>
      <xdr:rowOff>168274</xdr:rowOff>
    </xdr:from>
    <xdr:to>
      <xdr:col>3</xdr:col>
      <xdr:colOff>963084</xdr:colOff>
      <xdr:row>59</xdr:row>
      <xdr:rowOff>32808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EE4AE95F-2007-94BE-197B-1B9D8A1A53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68</xdr:row>
      <xdr:rowOff>178858</xdr:rowOff>
    </xdr:from>
    <xdr:to>
      <xdr:col>5</xdr:col>
      <xdr:colOff>10584</xdr:colOff>
      <xdr:row>92</xdr:row>
      <xdr:rowOff>21167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8974DC1E-E262-FC87-ED02-FA90F94A25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31750</xdr:colOff>
      <xdr:row>102</xdr:row>
      <xdr:rowOff>168275</xdr:rowOff>
    </xdr:from>
    <xdr:to>
      <xdr:col>3</xdr:col>
      <xdr:colOff>1132416</xdr:colOff>
      <xdr:row>119</xdr:row>
      <xdr:rowOff>158750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149E02F2-1ACF-B30A-2799-B01E92CE41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825500</xdr:colOff>
      <xdr:row>120</xdr:row>
      <xdr:rowOff>168275</xdr:rowOff>
    </xdr:from>
    <xdr:to>
      <xdr:col>7</xdr:col>
      <xdr:colOff>518584</xdr:colOff>
      <xdr:row>136</xdr:row>
      <xdr:rowOff>32808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15E669F3-2A6A-AB46-C3F8-39CC12D68E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1280584</xdr:colOff>
      <xdr:row>135</xdr:row>
      <xdr:rowOff>178858</xdr:rowOff>
    </xdr:from>
    <xdr:to>
      <xdr:col>4</xdr:col>
      <xdr:colOff>1270001</xdr:colOff>
      <xdr:row>151</xdr:row>
      <xdr:rowOff>43391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10B403C9-1C3D-3A3B-A4BD-5C82ECB84E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163830</xdr:rowOff>
    </xdr:from>
    <xdr:to>
      <xdr:col>7</xdr:col>
      <xdr:colOff>7620</xdr:colOff>
      <xdr:row>15</xdr:row>
      <xdr:rowOff>167640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8DBBA55-6E6A-7496-5674-581B8000B7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289560</xdr:colOff>
      <xdr:row>0</xdr:row>
      <xdr:rowOff>163830</xdr:rowOff>
    </xdr:from>
    <xdr:to>
      <xdr:col>14</xdr:col>
      <xdr:colOff>396240</xdr:colOff>
      <xdr:row>16</xdr:row>
      <xdr:rowOff>7620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F720DC6-30E4-415A-CBBF-A88F79EB1E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160021</xdr:colOff>
      <xdr:row>0</xdr:row>
      <xdr:rowOff>167640</xdr:rowOff>
    </xdr:from>
    <xdr:to>
      <xdr:col>23</xdr:col>
      <xdr:colOff>1</xdr:colOff>
      <xdr:row>16</xdr:row>
      <xdr:rowOff>30480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F51B7991-4AD0-4534-A9B1-A06260D349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16</xdr:row>
      <xdr:rowOff>167640</xdr:rowOff>
    </xdr:from>
    <xdr:to>
      <xdr:col>7</xdr:col>
      <xdr:colOff>7620</xdr:colOff>
      <xdr:row>32</xdr:row>
      <xdr:rowOff>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4A223146-7838-4549-ACE9-FC872062E7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289560</xdr:colOff>
      <xdr:row>17</xdr:row>
      <xdr:rowOff>7620</xdr:rowOff>
    </xdr:from>
    <xdr:to>
      <xdr:col>14</xdr:col>
      <xdr:colOff>411480</xdr:colOff>
      <xdr:row>31</xdr:row>
      <xdr:rowOff>167640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E6080A24-6D7B-483C-A0E4-0B9F90C005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180.81979548611" createdVersion="8" refreshedVersion="8" minRefreshableVersion="3" recordCount="17" xr:uid="{C2487652-79F8-4B77-8D81-BBCCB4545D9B}">
  <cacheSource type="worksheet">
    <worksheetSource ref="A1:H18" sheet="年度月度经营汇总表"/>
  </cacheSource>
  <cacheFields count="8">
    <cacheField name="年份" numFmtId="0">
      <sharedItems containsSemiMixedTypes="0" containsString="0" containsNumber="1" containsInteger="1" minValue="2025" maxValue="2026" count="2">
        <n v="2025"/>
        <n v="2026"/>
      </sharedItems>
    </cacheField>
    <cacheField name="月份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年月文本" numFmtId="0">
      <sharedItems/>
    </cacheField>
    <cacheField name="当月新签营收" numFmtId="0">
      <sharedItems containsSemiMixedTypes="0" containsString="0" containsNumber="1" containsInteger="1" minValue="0" maxValue="11400"/>
    </cacheField>
    <cacheField name="当月实收续费" numFmtId="0">
      <sharedItems containsSemiMixedTypes="0" containsString="0" containsNumber="1" containsInteger="1" minValue="0" maxValue="12600"/>
    </cacheField>
    <cacheField name="月度总营收" numFmtId="0">
      <sharedItems containsSemiMixedTypes="0" containsString="0" containsNumber="1" containsInteger="1" minValue="0" maxValue="16800"/>
    </cacheField>
    <cacheField name="同比增长率" numFmtId="10">
      <sharedItems containsMixedTypes="1" containsNumber="1" minValue="-1" maxValue="-0.125"/>
    </cacheField>
    <cacheField name="环比增长率" numFmtId="10">
      <sharedItems containsBlank="1" containsMixedTypes="1" containsNumber="1" minValue="-1" maxValue="2.16666666666666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180.830475000002" createdVersion="8" refreshedVersion="8" minRefreshableVersion="3" recordCount="32" xr:uid="{E34B6F49-1DD5-4B33-8F66-163FF567E6CA}">
  <cacheSource type="worksheet">
    <worksheetSource ref="A1:Z33" sheet="全学员总表"/>
  </cacheSource>
  <cacheFields count="28">
    <cacheField name="学员 ID" numFmtId="0">
      <sharedItems containsSemiMixedTypes="0" containsString="0" containsNumber="1" containsInteger="1" minValue="1" maxValue="32"/>
    </cacheField>
    <cacheField name="姓名" numFmtId="0">
      <sharedItems/>
    </cacheField>
    <cacheField name="课程科目" numFmtId="0">
      <sharedItems count="3">
        <s v="scratch"/>
        <s v="Python"/>
        <s v="c++"/>
      </sharedItems>
    </cacheField>
    <cacheField name="报名日期" numFmtId="14">
      <sharedItems containsSemiMixedTypes="0" containsNonDate="0" containsDate="1" containsString="0" minDate="2025-01-19T00:00:00" maxDate="2025-10-03T00:00:00" count="28">
        <d v="2025-01-19T00:00:00"/>
        <d v="2025-01-25T00:00:00"/>
        <d v="2025-02-03T00:00:00"/>
        <d v="2025-02-15T00:00:00"/>
        <d v="2025-03-09T00:00:00"/>
        <d v="2025-03-14T00:00:00"/>
        <d v="2025-03-23T00:00:00"/>
        <d v="2025-04-06T00:00:00"/>
        <d v="2025-05-24T00:00:00"/>
        <d v="2025-06-08T00:00:00"/>
        <d v="2025-06-21T00:00:00"/>
        <d v="2025-06-29T00:00:00"/>
        <d v="2025-07-06T00:00:00"/>
        <d v="2025-07-11T00:00:00"/>
        <d v="2025-07-13T00:00:00"/>
        <d v="2025-07-19T00:00:00"/>
        <d v="2025-07-20T00:00:00"/>
        <d v="2025-08-02T00:00:00"/>
        <d v="2025-08-03T00:00:00"/>
        <d v="2025-08-17T00:00:00"/>
        <d v="2025-08-22T00:00:00"/>
        <d v="2025-08-23T00:00:00"/>
        <d v="2025-08-29T00:00:00"/>
        <d v="2025-09-07T00:00:00"/>
        <d v="2025-09-03T00:00:00"/>
        <d v="2025-09-11T00:00:00"/>
        <d v="2025-09-30T00:00:00"/>
        <d v="2025-10-02T00:00:00"/>
      </sharedItems>
      <fieldGroup par="27"/>
    </cacheField>
    <cacheField name="报名课时" numFmtId="0">
      <sharedItems containsSemiMixedTypes="0" containsString="0" containsNumber="1" containsInteger="1" minValue="12" maxValue="36"/>
    </cacheField>
    <cacheField name="首次缴费" numFmtId="0">
      <sharedItems containsSemiMixedTypes="0" containsString="0" containsNumber="1" containsInteger="1" minValue="1200" maxValue="3000"/>
    </cacheField>
    <cacheField name="总续费金额" numFmtId="0">
      <sharedItems containsSemiMixedTypes="0" containsString="0" containsNumber="1" containsInteger="1" minValue="0" maxValue="3600"/>
    </cacheField>
    <cacheField name="是否续费" numFmtId="0">
      <sharedItems/>
    </cacheField>
    <cacheField name="cpa考级等级" numFmtId="0">
      <sharedItems/>
    </cacheField>
    <cacheField name="电子学会考级结果" numFmtId="0">
      <sharedItems/>
    </cacheField>
    <cacheField name="CCF-GESP考级结果" numFmtId="0">
      <sharedItems/>
    </cacheField>
    <cacheField name="信息素养大赛" numFmtId="0">
      <sharedItems/>
    </cacheField>
    <cacheField name="人工智能挑战赛" numFmtId="0">
      <sharedItems/>
    </cacheField>
    <cacheField name="学员分类标签" numFmtId="0">
      <sharedItems/>
    </cacheField>
    <cacheField name="合计总收入" numFmtId="0">
      <sharedItems containsSemiMixedTypes="0" containsString="0" containsNumber="1" containsInteger="1" minValue="2400" maxValue="6000"/>
    </cacheField>
    <cacheField name="报名年份" numFmtId="0">
      <sharedItems containsSemiMixedTypes="0" containsString="0" containsNumber="1" containsInteger="1" minValue="2025" maxValue="2025" count="1">
        <n v="2025"/>
      </sharedItems>
    </cacheField>
    <cacheField name="报名月份" numFmtId="0">
      <sharedItems containsSemiMixedTypes="0" containsString="0" containsNumber="1" containsInteger="1" minValue="1" maxValue="10"/>
    </cacheField>
    <cacheField name="首次续费时间" numFmtId="14">
      <sharedItems containsSemiMixedTypes="0" containsNonDate="0" containsDate="1" containsString="0" minDate="2025-04-13T00:00:00" maxDate="2026-04-13T00:00:00"/>
    </cacheField>
    <cacheField name="报名到首续费间隔天数" numFmtId="0">
      <sharedItems containsSemiMixedTypes="0" containsString="0" containsNumber="1" containsInteger="1" minValue="84" maxValue="252"/>
    </cacheField>
    <cacheField name="累计续费次数" numFmtId="0">
      <sharedItems containsSemiMixedTypes="0" containsString="0" containsNumber="1" containsInteger="1" minValue="0" maxValue="3"/>
    </cacheField>
    <cacheField name="累计续费总金额" numFmtId="0">
      <sharedItems containsNonDate="0" containsString="0" containsBlank="1"/>
    </cacheField>
    <cacheField name="是否有考级" numFmtId="0">
      <sharedItems count="2">
        <s v="是"/>
        <s v="否"/>
      </sharedItems>
    </cacheField>
    <cacheField name="是否有参赛" numFmtId="0">
      <sharedItems count="2">
        <s v="否"/>
        <s v="是"/>
      </sharedItems>
    </cacheField>
    <cacheField name="学员生命周期价值 (LTV)" numFmtId="0">
      <sharedItems containsSemiMixedTypes="0" containsString="0" containsNumber="1" containsInteger="1" minValue="2400" maxValue="6000"/>
    </cacheField>
    <cacheField name="学员价值分层" numFmtId="0">
      <sharedItems count="3">
        <s v="中价值"/>
        <s v="高价值"/>
        <s v="低价值"/>
      </sharedItems>
    </cacheField>
    <cacheField name="续费率达标判断" numFmtId="0">
      <sharedItems/>
    </cacheField>
    <cacheField name="月(报名日期)" numFmtId="0" databaseField="0">
      <fieldGroup base="3">
        <rangePr groupBy="months" startDate="2025-01-19T00:00:00" endDate="2025-10-03T00:00:00"/>
        <groupItems count="14">
          <s v="&lt;2025/1/19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5/10/3"/>
        </groupItems>
      </fieldGroup>
    </cacheField>
    <cacheField name="年(报名日期)" numFmtId="0" databaseField="0">
      <fieldGroup base="3">
        <rangePr groupBy="years" startDate="2025-01-19T00:00:00" endDate="2025-10-03T00:00:00"/>
        <groupItems count="3">
          <s v="&lt;2025/1/19"/>
          <s v="2025年"/>
          <s v="&gt;2025/10/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x v="0"/>
    <s v="2025年1月"/>
    <n v="4800"/>
    <n v="0"/>
    <n v="4800"/>
    <s v=""/>
    <m/>
  </r>
  <r>
    <x v="0"/>
    <x v="1"/>
    <s v="2025年2月"/>
    <n v="5200"/>
    <n v="0"/>
    <n v="5200"/>
    <s v=""/>
    <n v="-0.30769230769230771"/>
  </r>
  <r>
    <x v="0"/>
    <x v="2"/>
    <s v="2025年3月"/>
    <n v="3600"/>
    <n v="0"/>
    <n v="3600"/>
    <s v=""/>
    <n v="0"/>
  </r>
  <r>
    <x v="0"/>
    <x v="3"/>
    <s v="2025年4月"/>
    <n v="1200"/>
    <n v="2400"/>
    <n v="3600"/>
    <s v=""/>
    <n v="0"/>
  </r>
  <r>
    <x v="0"/>
    <x v="4"/>
    <s v="2025年5月"/>
    <n v="2400"/>
    <n v="1200"/>
    <n v="3600"/>
    <s v=""/>
    <n v="2.1666666666666665"/>
  </r>
  <r>
    <x v="0"/>
    <x v="5"/>
    <s v="2025年6月"/>
    <n v="6600"/>
    <n v="4800"/>
    <n v="11400"/>
    <s v=""/>
    <n v="0.47368421052631576"/>
  </r>
  <r>
    <x v="0"/>
    <x v="6"/>
    <s v="2025年7月"/>
    <n v="10800"/>
    <n v="6000"/>
    <n v="16800"/>
    <s v=""/>
    <n v="-0.10714285714285714"/>
  </r>
  <r>
    <x v="0"/>
    <x v="7"/>
    <s v="2025年8月"/>
    <n v="11400"/>
    <n v="3600"/>
    <n v="15000"/>
    <s v=""/>
    <n v="-0.2"/>
  </r>
  <r>
    <x v="0"/>
    <x v="8"/>
    <s v="2025年9月"/>
    <n v="6000"/>
    <n v="6000"/>
    <n v="12000"/>
    <s v=""/>
    <n v="-0.1"/>
  </r>
  <r>
    <x v="0"/>
    <x v="9"/>
    <s v="2025年10月"/>
    <n v="1200"/>
    <n v="9600"/>
    <n v="10800"/>
    <s v=""/>
    <n v="0"/>
  </r>
  <r>
    <x v="0"/>
    <x v="10"/>
    <s v="2025年11月"/>
    <n v="0"/>
    <n v="10800"/>
    <n v="10800"/>
    <s v=""/>
    <n v="0.16666666666666666"/>
  </r>
  <r>
    <x v="0"/>
    <x v="11"/>
    <s v="2025年12月"/>
    <n v="0"/>
    <n v="12600"/>
    <n v="12600"/>
    <s v=""/>
    <s v=""/>
  </r>
  <r>
    <x v="1"/>
    <x v="0"/>
    <s v="2026年1月"/>
    <n v="0"/>
    <n v="4200"/>
    <n v="4200"/>
    <n v="-0.125"/>
    <n v="-0.8571428571428571"/>
  </r>
  <r>
    <x v="1"/>
    <x v="1"/>
    <s v="2026年2月"/>
    <n v="0"/>
    <n v="600"/>
    <n v="600"/>
    <n v="-0.88461538461538458"/>
    <n v="-1"/>
  </r>
  <r>
    <x v="1"/>
    <x v="2"/>
    <s v="2026年3月"/>
    <n v="0"/>
    <n v="0"/>
    <n v="0"/>
    <n v="-1"/>
    <m/>
  </r>
  <r>
    <x v="1"/>
    <x v="3"/>
    <s v="2026年4月"/>
    <n v="0"/>
    <n v="0"/>
    <n v="0"/>
    <n v="-1"/>
    <m/>
  </r>
  <r>
    <x v="1"/>
    <x v="4"/>
    <s v="2026年5月"/>
    <n v="0"/>
    <n v="0"/>
    <n v="0"/>
    <n v="-1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1"/>
    <s v="陈宇轩"/>
    <x v="0"/>
    <x v="0"/>
    <n v="12"/>
    <n v="1200"/>
    <n v="3600"/>
    <b v="1"/>
    <s v="二级"/>
    <s v=""/>
    <s v=""/>
    <s v="未参赛"/>
    <s v="未参赛"/>
    <s v="潜力"/>
    <n v="4800"/>
    <x v="0"/>
    <n v="1"/>
    <d v="2025-04-13T00:00:00"/>
    <n v="84"/>
    <n v="3"/>
    <m/>
    <x v="0"/>
    <x v="0"/>
    <n v="4800"/>
    <x v="0"/>
    <s v="续费率达标"/>
  </r>
  <r>
    <n v="2"/>
    <s v="李浩泽"/>
    <x v="1"/>
    <x v="1"/>
    <n v="24"/>
    <n v="2400"/>
    <n v="3600"/>
    <b v="1"/>
    <s v=""/>
    <s v="四级"/>
    <s v=""/>
    <s v="已参赛"/>
    <s v="已参赛"/>
    <s v="重赛考"/>
    <n v="6000"/>
    <x v="0"/>
    <n v="1"/>
    <d v="2025-07-12T00:00:00"/>
    <n v="168"/>
    <n v="3"/>
    <m/>
    <x v="0"/>
    <x v="1"/>
    <n v="6000"/>
    <x v="1"/>
    <s v="续费率达标"/>
  </r>
  <r>
    <n v="3"/>
    <s v="王梓航"/>
    <x v="0"/>
    <x v="1"/>
    <n v="12"/>
    <n v="1200"/>
    <n v="3600"/>
    <b v="1"/>
    <s v="二级"/>
    <s v=""/>
    <s v=""/>
    <s v="已参赛"/>
    <s v="已参赛"/>
    <s v="重赛考"/>
    <n v="4800"/>
    <x v="0"/>
    <n v="1"/>
    <d v="2025-04-19T00:00:00"/>
    <n v="84"/>
    <n v="3"/>
    <m/>
    <x v="0"/>
    <x v="1"/>
    <n v="4800"/>
    <x v="0"/>
    <s v="续费率达标"/>
  </r>
  <r>
    <n v="4"/>
    <s v="张锦程"/>
    <x v="0"/>
    <x v="2"/>
    <n v="24"/>
    <n v="2000"/>
    <n v="3600"/>
    <b v="1"/>
    <s v="二级"/>
    <s v=""/>
    <s v=""/>
    <s v="已参赛"/>
    <s v="已参赛"/>
    <s v="重赛考"/>
    <n v="5600"/>
    <x v="0"/>
    <n v="2"/>
    <d v="2025-07-21T00:00:00"/>
    <n v="168"/>
    <n v="3"/>
    <m/>
    <x v="0"/>
    <x v="1"/>
    <n v="5600"/>
    <x v="1"/>
    <s v="续费率达标"/>
  </r>
  <r>
    <n v="5"/>
    <s v="张俊豪"/>
    <x v="2"/>
    <x v="2"/>
    <n v="24"/>
    <n v="2000"/>
    <n v="3600"/>
    <b v="1"/>
    <s v=""/>
    <s v=""/>
    <s v="三级"/>
    <s v="已参赛"/>
    <s v="已参赛"/>
    <s v="重赛考"/>
    <n v="5600"/>
    <x v="0"/>
    <n v="2"/>
    <d v="2025-07-21T00:00:00"/>
    <n v="168"/>
    <n v="3"/>
    <m/>
    <x v="0"/>
    <x v="1"/>
    <n v="5600"/>
    <x v="1"/>
    <s v="续费率达标"/>
  </r>
  <r>
    <n v="6"/>
    <s v="李若溪"/>
    <x v="0"/>
    <x v="3"/>
    <n v="12"/>
    <n v="1200"/>
    <n v="3600"/>
    <b v="1"/>
    <s v="二级"/>
    <s v=""/>
    <s v=""/>
    <s v="未参赛"/>
    <s v="未参赛"/>
    <s v="潜力"/>
    <n v="4800"/>
    <x v="0"/>
    <n v="2"/>
    <d v="2025-05-10T00:00:00"/>
    <n v="84"/>
    <n v="3"/>
    <m/>
    <x v="0"/>
    <x v="0"/>
    <n v="4800"/>
    <x v="0"/>
    <s v="续费率达标"/>
  </r>
  <r>
    <n v="7"/>
    <s v="周思远"/>
    <x v="0"/>
    <x v="4"/>
    <n v="12"/>
    <n v="1200"/>
    <n v="3600"/>
    <b v="1"/>
    <s v="二级"/>
    <s v=""/>
    <s v=""/>
    <s v="未参赛"/>
    <s v="未参赛"/>
    <s v="潜力"/>
    <n v="4800"/>
    <x v="0"/>
    <n v="3"/>
    <d v="2025-06-01T00:00:00"/>
    <n v="84"/>
    <n v="3"/>
    <m/>
    <x v="0"/>
    <x v="0"/>
    <n v="4800"/>
    <x v="0"/>
    <s v="续费率达标"/>
  </r>
  <r>
    <n v="8"/>
    <s v="吴嘉硕"/>
    <x v="0"/>
    <x v="5"/>
    <n v="12"/>
    <n v="1200"/>
    <n v="3600"/>
    <b v="1"/>
    <s v="二级"/>
    <s v=""/>
    <s v=""/>
    <s v="已参赛"/>
    <s v="未参赛"/>
    <s v="重赛考"/>
    <n v="4800"/>
    <x v="0"/>
    <n v="3"/>
    <d v="2025-06-06T00:00:00"/>
    <n v="84"/>
    <n v="3"/>
    <m/>
    <x v="0"/>
    <x v="1"/>
    <n v="4800"/>
    <x v="0"/>
    <s v="续费率达标"/>
  </r>
  <r>
    <n v="9"/>
    <s v="郑博文"/>
    <x v="0"/>
    <x v="6"/>
    <n v="12"/>
    <n v="1200"/>
    <n v="3600"/>
    <b v="1"/>
    <s v="一级"/>
    <s v=""/>
    <s v=""/>
    <s v="已参赛"/>
    <s v="未参赛"/>
    <s v="重赛考"/>
    <n v="4800"/>
    <x v="0"/>
    <n v="3"/>
    <d v="2025-06-15T00:00:00"/>
    <n v="84"/>
    <n v="3"/>
    <m/>
    <x v="0"/>
    <x v="1"/>
    <n v="4800"/>
    <x v="0"/>
    <s v="续费率达标"/>
  </r>
  <r>
    <n v="10"/>
    <s v="骆思玥"/>
    <x v="0"/>
    <x v="7"/>
    <n v="12"/>
    <n v="1200"/>
    <n v="3600"/>
    <b v="1"/>
    <s v="二级"/>
    <s v=""/>
    <s v=""/>
    <s v="未参赛"/>
    <s v="未参赛"/>
    <s v="潜力"/>
    <n v="4800"/>
    <x v="0"/>
    <n v="4"/>
    <d v="2025-06-29T00:00:00"/>
    <n v="84"/>
    <n v="3"/>
    <m/>
    <x v="0"/>
    <x v="0"/>
    <n v="4800"/>
    <x v="0"/>
    <s v="续费率达标"/>
  </r>
  <r>
    <n v="11"/>
    <s v="黄奕凡"/>
    <x v="0"/>
    <x v="8"/>
    <n v="24"/>
    <n v="2400"/>
    <n v="1200"/>
    <b v="1"/>
    <s v="一级"/>
    <s v=""/>
    <s v=""/>
    <s v="未参赛"/>
    <s v="未参赛"/>
    <s v="潜力"/>
    <n v="3600"/>
    <x v="0"/>
    <n v="5"/>
    <d v="2025-11-08T00:00:00"/>
    <n v="168"/>
    <n v="1"/>
    <m/>
    <x v="0"/>
    <x v="0"/>
    <n v="3600"/>
    <x v="0"/>
    <s v="未达标"/>
  </r>
  <r>
    <n v="12"/>
    <s v="王语桐"/>
    <x v="0"/>
    <x v="9"/>
    <n v="36"/>
    <n v="3000"/>
    <n v="600"/>
    <b v="1"/>
    <s v="三级"/>
    <s v=""/>
    <s v=""/>
    <s v="未参赛"/>
    <s v="未参赛"/>
    <s v="潜力"/>
    <n v="3600"/>
    <x v="0"/>
    <n v="6"/>
    <d v="2026-02-15T00:00:00"/>
    <n v="252"/>
    <n v="1"/>
    <m/>
    <x v="0"/>
    <x v="0"/>
    <n v="3600"/>
    <x v="0"/>
    <s v="未达标"/>
  </r>
  <r>
    <n v="13"/>
    <s v="张欣瑶"/>
    <x v="0"/>
    <x v="10"/>
    <n v="24"/>
    <n v="2400"/>
    <n v="1200"/>
    <b v="1"/>
    <s v="二级"/>
    <s v=""/>
    <s v=""/>
    <s v="未参赛"/>
    <s v="未参赛"/>
    <s v="潜力"/>
    <n v="3600"/>
    <x v="0"/>
    <n v="6"/>
    <d v="2025-12-06T00:00:00"/>
    <n v="168"/>
    <n v="1"/>
    <m/>
    <x v="0"/>
    <x v="0"/>
    <n v="3600"/>
    <x v="0"/>
    <s v="未达标"/>
  </r>
  <r>
    <n v="14"/>
    <s v="孙靖宇"/>
    <x v="1"/>
    <x v="11"/>
    <n v="12"/>
    <n v="1200"/>
    <n v="2400"/>
    <b v="1"/>
    <s v=""/>
    <s v="三级"/>
    <s v=""/>
    <s v="未参赛"/>
    <s v="已参赛"/>
    <s v="重赛考"/>
    <n v="3600"/>
    <x v="0"/>
    <n v="6"/>
    <d v="2025-09-21T00:00:00"/>
    <n v="84"/>
    <n v="2"/>
    <m/>
    <x v="0"/>
    <x v="1"/>
    <n v="3600"/>
    <x v="0"/>
    <s v="续费率达标"/>
  </r>
  <r>
    <n v="15"/>
    <s v="马睿辰"/>
    <x v="1"/>
    <x v="12"/>
    <n v="12"/>
    <n v="1200"/>
    <n v="2400"/>
    <b v="1"/>
    <s v=""/>
    <s v="二级"/>
    <s v=""/>
    <s v="未参赛"/>
    <s v="已参赛"/>
    <s v="重赛考"/>
    <n v="3600"/>
    <x v="0"/>
    <n v="7"/>
    <d v="2025-09-28T00:00:00"/>
    <n v="84"/>
    <n v="2"/>
    <m/>
    <x v="0"/>
    <x v="1"/>
    <n v="3600"/>
    <x v="0"/>
    <s v="续费率达标"/>
  </r>
  <r>
    <n v="16"/>
    <s v="刘梓萱"/>
    <x v="0"/>
    <x v="13"/>
    <n v="12"/>
    <n v="1200"/>
    <n v="2400"/>
    <b v="1"/>
    <s v="二级"/>
    <s v=""/>
    <s v=""/>
    <s v="未参赛"/>
    <s v="未参赛"/>
    <s v="潜力"/>
    <n v="3600"/>
    <x v="0"/>
    <n v="7"/>
    <d v="2025-10-03T00:00:00"/>
    <n v="84"/>
    <n v="2"/>
    <m/>
    <x v="0"/>
    <x v="0"/>
    <n v="3600"/>
    <x v="0"/>
    <s v="续费率达标"/>
  </r>
  <r>
    <n v="17"/>
    <s v="朱泽宇"/>
    <x v="0"/>
    <x v="13"/>
    <n v="12"/>
    <n v="1200"/>
    <n v="2400"/>
    <b v="1"/>
    <s v="二级"/>
    <s v=""/>
    <s v=""/>
    <s v="未参赛"/>
    <s v="未参赛"/>
    <s v="潜力"/>
    <n v="3600"/>
    <x v="0"/>
    <n v="7"/>
    <d v="2025-10-03T00:00:00"/>
    <n v="84"/>
    <n v="2"/>
    <m/>
    <x v="0"/>
    <x v="0"/>
    <n v="3600"/>
    <x v="0"/>
    <s v="续费率达标"/>
  </r>
  <r>
    <n v="18"/>
    <s v="陈舒然"/>
    <x v="0"/>
    <x v="14"/>
    <n v="24"/>
    <n v="2400"/>
    <n v="600"/>
    <b v="1"/>
    <s v="二级"/>
    <s v=""/>
    <s v=""/>
    <s v="未参赛"/>
    <s v="未参赛"/>
    <s v="潜力"/>
    <n v="3000"/>
    <x v="0"/>
    <n v="7"/>
    <d v="2025-12-28T00:00:00"/>
    <n v="168"/>
    <n v="1"/>
    <m/>
    <x v="0"/>
    <x v="0"/>
    <n v="3000"/>
    <x v="0"/>
    <s v="未达标"/>
  </r>
  <r>
    <n v="19"/>
    <s v="胡星朗"/>
    <x v="0"/>
    <x v="15"/>
    <n v="24"/>
    <n v="2400"/>
    <n v="600"/>
    <b v="1"/>
    <s v="二级"/>
    <s v=""/>
    <s v=""/>
    <s v="未参赛"/>
    <s v="未参赛"/>
    <s v="潜力"/>
    <n v="3000"/>
    <x v="0"/>
    <n v="7"/>
    <d v="2026-01-03T00:00:00"/>
    <n v="168"/>
    <n v="1"/>
    <m/>
    <x v="0"/>
    <x v="0"/>
    <n v="3000"/>
    <x v="0"/>
    <s v="未达标"/>
  </r>
  <r>
    <n v="20"/>
    <s v="林凯瑞"/>
    <x v="0"/>
    <x v="16"/>
    <n v="24"/>
    <n v="2400"/>
    <n v="600"/>
    <b v="1"/>
    <s v="二级"/>
    <s v=""/>
    <s v=""/>
    <s v="未参赛"/>
    <s v="未参赛"/>
    <s v="潜力"/>
    <n v="3000"/>
    <x v="0"/>
    <n v="7"/>
    <d v="2026-01-04T00:00:00"/>
    <n v="168"/>
    <n v="1"/>
    <m/>
    <x v="0"/>
    <x v="0"/>
    <n v="3000"/>
    <x v="0"/>
    <s v="未达标"/>
  </r>
  <r>
    <n v="21"/>
    <s v="周芷晴"/>
    <x v="2"/>
    <x v="17"/>
    <n v="12"/>
    <n v="1200"/>
    <n v="1800"/>
    <b v="1"/>
    <s v=""/>
    <s v=""/>
    <s v="二级"/>
    <s v="未参赛"/>
    <s v="未参赛"/>
    <s v="潜力"/>
    <n v="3000"/>
    <x v="0"/>
    <n v="8"/>
    <d v="2025-10-25T00:00:00"/>
    <n v="84"/>
    <n v="2"/>
    <m/>
    <x v="0"/>
    <x v="0"/>
    <n v="3000"/>
    <x v="0"/>
    <s v="续费率达标"/>
  </r>
  <r>
    <n v="22"/>
    <s v="郭彦彬"/>
    <x v="2"/>
    <x v="18"/>
    <n v="36"/>
    <n v="3000"/>
    <n v="0"/>
    <b v="0"/>
    <s v=""/>
    <s v=""/>
    <s v="二级"/>
    <s v="未参赛"/>
    <s v="未参赛"/>
    <s v="潜力"/>
    <n v="3000"/>
    <x v="0"/>
    <n v="8"/>
    <d v="2026-04-12T00:00:00"/>
    <n v="252"/>
    <n v="0"/>
    <m/>
    <x v="0"/>
    <x v="0"/>
    <n v="3000"/>
    <x v="0"/>
    <s v="未达标"/>
  </r>
  <r>
    <n v="23"/>
    <s v="吴佳妮"/>
    <x v="2"/>
    <x v="19"/>
    <n v="12"/>
    <n v="1200"/>
    <n v="1200"/>
    <b v="1"/>
    <s v=""/>
    <s v=""/>
    <s v="二级"/>
    <s v="未参赛"/>
    <s v="未参赛"/>
    <s v="潜力"/>
    <n v="2400"/>
    <x v="0"/>
    <n v="8"/>
    <d v="2025-11-09T00:00:00"/>
    <n v="84"/>
    <n v="1"/>
    <m/>
    <x v="0"/>
    <x v="0"/>
    <n v="2400"/>
    <x v="2"/>
    <s v="续费率达标"/>
  </r>
  <r>
    <n v="24"/>
    <s v="郑雨茉"/>
    <x v="0"/>
    <x v="19"/>
    <n v="12"/>
    <n v="1200"/>
    <n v="1200"/>
    <b v="1"/>
    <s v="二级"/>
    <s v=""/>
    <s v=""/>
    <s v="未参赛"/>
    <s v="未参赛"/>
    <s v="潜力"/>
    <n v="2400"/>
    <x v="0"/>
    <n v="8"/>
    <d v="2025-11-09T00:00:00"/>
    <n v="84"/>
    <n v="1"/>
    <m/>
    <x v="0"/>
    <x v="0"/>
    <n v="2400"/>
    <x v="2"/>
    <s v="续费率达标"/>
  </r>
  <r>
    <n v="25"/>
    <s v="宋启恒"/>
    <x v="2"/>
    <x v="20"/>
    <n v="24"/>
    <n v="2400"/>
    <n v="0"/>
    <b v="0"/>
    <s v=""/>
    <s v=""/>
    <s v="一级"/>
    <s v="未参赛"/>
    <s v="未参赛"/>
    <s v="潜力"/>
    <n v="2400"/>
    <x v="0"/>
    <n v="8"/>
    <d v="2026-02-06T00:00:00"/>
    <n v="168"/>
    <n v="0"/>
    <m/>
    <x v="0"/>
    <x v="0"/>
    <n v="2400"/>
    <x v="2"/>
    <s v="未达标"/>
  </r>
  <r>
    <n v="26"/>
    <s v="黄诗涵"/>
    <x v="1"/>
    <x v="21"/>
    <n v="12"/>
    <n v="1200"/>
    <n v="1200"/>
    <b v="1"/>
    <s v=""/>
    <s v="一级"/>
    <s v=""/>
    <s v="未参赛"/>
    <s v="未参赛"/>
    <s v="潜力"/>
    <n v="2400"/>
    <x v="0"/>
    <n v="8"/>
    <d v="2025-11-15T00:00:00"/>
    <n v="84"/>
    <n v="1"/>
    <m/>
    <x v="0"/>
    <x v="0"/>
    <n v="2400"/>
    <x v="2"/>
    <s v="续费率达标"/>
  </r>
  <r>
    <n v="27"/>
    <s v="苏一诺"/>
    <x v="2"/>
    <x v="22"/>
    <n v="12"/>
    <n v="1200"/>
    <n v="1200"/>
    <b v="1"/>
    <s v=""/>
    <s v=""/>
    <s v="一级"/>
    <s v="未参赛"/>
    <s v="未参赛"/>
    <s v="潜力"/>
    <n v="2400"/>
    <x v="0"/>
    <n v="8"/>
    <d v="2025-11-21T00:00:00"/>
    <n v="84"/>
    <n v="1"/>
    <m/>
    <x v="0"/>
    <x v="0"/>
    <n v="2400"/>
    <x v="2"/>
    <s v="续费率达标"/>
  </r>
  <r>
    <n v="28"/>
    <s v="韩沐阳"/>
    <x v="1"/>
    <x v="23"/>
    <n v="24"/>
    <n v="2400"/>
    <n v="0"/>
    <b v="0"/>
    <s v=""/>
    <s v="二级"/>
    <s v=""/>
    <s v="未参赛"/>
    <s v="未参赛"/>
    <s v="潜力"/>
    <n v="2400"/>
    <x v="0"/>
    <n v="9"/>
    <d v="2026-02-22T00:00:00"/>
    <n v="168"/>
    <n v="0"/>
    <m/>
    <x v="0"/>
    <x v="0"/>
    <n v="2400"/>
    <x v="2"/>
    <s v="未达标"/>
  </r>
  <r>
    <n v="29"/>
    <s v="曹硕霖"/>
    <x v="0"/>
    <x v="24"/>
    <n v="12"/>
    <n v="1200"/>
    <n v="1200"/>
    <b v="1"/>
    <s v="一级"/>
    <s v=""/>
    <s v=""/>
    <s v="未参赛"/>
    <s v="未参赛"/>
    <s v="潜力"/>
    <n v="2400"/>
    <x v="0"/>
    <n v="9"/>
    <d v="2025-11-26T00:00:00"/>
    <n v="84"/>
    <n v="1"/>
    <m/>
    <x v="0"/>
    <x v="0"/>
    <n v="2400"/>
    <x v="2"/>
    <s v="续费率达标"/>
  </r>
  <r>
    <n v="30"/>
    <s v="叶静怡"/>
    <x v="0"/>
    <x v="25"/>
    <n v="12"/>
    <n v="1200"/>
    <n v="1200"/>
    <b v="1"/>
    <s v="一级"/>
    <s v=""/>
    <s v=""/>
    <s v="未参赛"/>
    <s v="未参赛"/>
    <s v="潜力"/>
    <n v="2400"/>
    <x v="0"/>
    <n v="9"/>
    <d v="2025-12-04T00:00:00"/>
    <n v="84"/>
    <n v="1"/>
    <m/>
    <x v="0"/>
    <x v="0"/>
    <n v="2400"/>
    <x v="2"/>
    <s v="续费率达标"/>
  </r>
  <r>
    <n v="31"/>
    <s v="陶沐汐"/>
    <x v="0"/>
    <x v="26"/>
    <n v="12"/>
    <n v="1200"/>
    <n v="1200"/>
    <b v="1"/>
    <s v="一级"/>
    <s v=""/>
    <s v=""/>
    <s v="未参赛"/>
    <s v="未参赛"/>
    <s v="潜力"/>
    <n v="2400"/>
    <x v="0"/>
    <n v="9"/>
    <d v="2025-12-23T00:00:00"/>
    <n v="84"/>
    <n v="1"/>
    <m/>
    <x v="0"/>
    <x v="0"/>
    <n v="2400"/>
    <x v="2"/>
    <s v="续费率达标"/>
  </r>
  <r>
    <n v="32"/>
    <s v="邓崇安"/>
    <x v="0"/>
    <x v="27"/>
    <n v="12"/>
    <n v="1200"/>
    <n v="1200"/>
    <b v="1"/>
    <s v=""/>
    <s v=""/>
    <s v=""/>
    <s v="未参赛"/>
    <s v="未参赛"/>
    <s v="待推荐"/>
    <n v="2400"/>
    <x v="0"/>
    <n v="10"/>
    <d v="2025-12-25T00:00:00"/>
    <n v="84"/>
    <n v="1"/>
    <m/>
    <x v="1"/>
    <x v="0"/>
    <n v="2400"/>
    <x v="2"/>
    <s v="续费率达标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079BA8-0160-4F16-B23A-141F0F9651D3}" name="数据透视表3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">
  <location ref="A61:AH68" firstHeaderRow="1" firstDataRow="3" firstDataCol="1"/>
  <pivotFields count="28">
    <pivotField showAll="0"/>
    <pivotField showAll="0"/>
    <pivotField axis="axisRow" showAll="0">
      <items count="4">
        <item x="2"/>
        <item x="1"/>
        <item x="0"/>
        <item t="default"/>
      </items>
    </pivotField>
    <pivotField numFmtId="14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4"/>
        <item x="23"/>
        <item x="25"/>
        <item x="26"/>
        <item x="27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Col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>
      <items count="3">
        <item x="0"/>
        <item x="1"/>
        <item x="2"/>
      </items>
    </pivotField>
  </pivotFields>
  <rowFields count="2">
    <field x="15"/>
    <field x="2"/>
  </rowFields>
  <rowItems count="5">
    <i>
      <x/>
    </i>
    <i r="1">
      <x/>
    </i>
    <i r="1">
      <x v="1"/>
    </i>
    <i r="1">
      <x v="2"/>
    </i>
    <i t="grand">
      <x/>
    </i>
  </rowItems>
  <colFields count="2">
    <field x="26"/>
    <field x="-2"/>
  </colFields>
  <colItems count="33"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>
      <x v="4"/>
      <x/>
    </i>
    <i r="1" i="1">
      <x v="1"/>
    </i>
    <i r="1" i="2">
      <x v="2"/>
    </i>
    <i>
      <x v="5"/>
      <x/>
    </i>
    <i r="1" i="1">
      <x v="1"/>
    </i>
    <i r="1" i="2">
      <x v="2"/>
    </i>
    <i>
      <x v="6"/>
      <x/>
    </i>
    <i r="1" i="1">
      <x v="1"/>
    </i>
    <i r="1" i="2">
      <x v="2"/>
    </i>
    <i>
      <x v="7"/>
      <x/>
    </i>
    <i r="1" i="1">
      <x v="1"/>
    </i>
    <i r="1" i="2">
      <x v="2"/>
    </i>
    <i>
      <x v="8"/>
      <x/>
    </i>
    <i r="1" i="1">
      <x v="1"/>
    </i>
    <i r="1" i="2">
      <x v="2"/>
    </i>
    <i>
      <x v="9"/>
      <x/>
    </i>
    <i r="1" i="1">
      <x v="1"/>
    </i>
    <i r="1" i="2">
      <x v="2"/>
    </i>
    <i>
      <x v="10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求和项:首次缴费" fld="5" baseField="0" baseItem="0"/>
    <dataField name="求和项:总续费金额" fld="6" baseField="0" baseItem="0"/>
    <dataField name="平均值项:学员生命周期价值 (LTV)" fld="23" subtotal="average" baseField="23" baseItem="1"/>
  </dataFields>
  <chartFormats count="40">
    <chartFormat chart="0" format="0" series="1">
      <pivotArea type="data" outline="0" fieldPosition="0">
        <references count="1">
          <reference field="26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26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26" count="1" selected="0">
            <x v="3"/>
          </reference>
        </references>
      </pivotArea>
    </chartFormat>
    <chartFormat chart="0" format="3" series="1">
      <pivotArea type="data" outline="0" fieldPosition="0">
        <references count="1">
          <reference field="26" count="1" selected="0">
            <x v="4"/>
          </reference>
        </references>
      </pivotArea>
    </chartFormat>
    <chartFormat chart="0" format="4" series="1">
      <pivotArea type="data" outline="0" fieldPosition="0">
        <references count="1">
          <reference field="26" count="1" selected="0">
            <x v="5"/>
          </reference>
        </references>
      </pivotArea>
    </chartFormat>
    <chartFormat chart="0" format="5" series="1">
      <pivotArea type="data" outline="0" fieldPosition="0">
        <references count="1">
          <reference field="26" count="1" selected="0">
            <x v="6"/>
          </reference>
        </references>
      </pivotArea>
    </chartFormat>
    <chartFormat chart="0" format="6" series="1">
      <pivotArea type="data" outline="0" fieldPosition="0">
        <references count="1">
          <reference field="26" count="1" selected="0">
            <x v="7"/>
          </reference>
        </references>
      </pivotArea>
    </chartFormat>
    <chartFormat chart="0" format="7" series="1">
      <pivotArea type="data" outline="0" fieldPosition="0">
        <references count="1">
          <reference field="26" count="1" selected="0">
            <x v="8"/>
          </reference>
        </references>
      </pivotArea>
    </chartFormat>
    <chartFormat chart="0" format="8" series="1">
      <pivotArea type="data" outline="0" fieldPosition="0">
        <references count="1">
          <reference field="26" count="1" selected="0">
            <x v="9"/>
          </reference>
        </references>
      </pivotArea>
    </chartFormat>
    <chartFormat chart="0" format="9" series="1">
      <pivotArea type="data" outline="0" fieldPosition="0">
        <references count="1">
          <reference field="26" count="1" selected="0">
            <x v="1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6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6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7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7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8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8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9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9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0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1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2"/>
          </reference>
          <reference field="26" count="1" selected="0">
            <x v="7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2"/>
          </reference>
          <reference field="26" count="1" selected="0">
            <x v="8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2"/>
          </reference>
          <reference field="26" count="1" selected="0">
            <x v="9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2"/>
          </reference>
          <reference field="26" count="1" selected="0">
            <x v="10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1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2"/>
          </reference>
          <reference field="26" count="1" selected="0">
            <x v="1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2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2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2"/>
          </reference>
          <reference field="26" count="1" selected="0">
            <x v="2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3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3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2"/>
          </reference>
          <reference field="26" count="1" selected="0">
            <x v="3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4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4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2"/>
          </reference>
          <reference field="26" count="1" selected="0">
            <x v="4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5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1"/>
          </reference>
          <reference field="26" count="1" selected="0">
            <x v="5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2"/>
          </reference>
          <reference field="26" count="1" selected="0">
            <x v="5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2"/>
          </reference>
          <reference field="26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CF01D0-DE06-4101-B656-898AAF1D5F50}" name="数据透视表1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5">
  <location ref="A23:D43" firstHeaderRow="0" firstDataRow="1" firstDataCol="1"/>
  <pivotFields count="8">
    <pivotField axis="axisRow" showAll="0">
      <items count="3">
        <item x="0"/>
        <item x="1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</pivotFields>
  <rowFields count="2">
    <field x="0"/>
    <field x="1"/>
  </rowFields>
  <rowItems count="2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当月新签营收" fld="3" baseField="0" baseItem="0"/>
    <dataField name="求和项:当月实收续费" fld="4" baseField="0" baseItem="0"/>
    <dataField name="求和项:月度总营收" fld="5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55219E-37AF-45DA-83D3-E739024D6012}" name="数据透视表4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">
  <location ref="A1:E5" firstHeaderRow="0" firstDataRow="1" firstDataCol="1"/>
  <pivotFields count="28">
    <pivotField dataField="1" showAll="0"/>
    <pivotField showAll="0"/>
    <pivotField axis="axisRow" showAll="0">
      <items count="4">
        <item x="2"/>
        <item x="1"/>
        <item x="0"/>
        <item t="default"/>
      </items>
    </pivotField>
    <pivotField numFmtId="14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4"/>
        <item x="23"/>
        <item x="25"/>
        <item x="26"/>
        <item x="27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计数项:学员 ID" fld="0" subtotal="count" baseField="2" baseItem="0"/>
    <dataField name="求和项:首次缴费" fld="5" baseField="0" baseItem="0"/>
    <dataField name="求和项:总续费金额" fld="6" baseField="0" baseItem="0"/>
    <dataField name="平均值项:学员生命周期价值 (LTV)" fld="23" subtotal="average" baseField="2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2E75D7-4C9A-4D98-92DE-F323600A5DC0}" name="数据透视表11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5">
  <location ref="A137:B142" firstHeaderRow="1" firstDataRow="1" firstDataCol="1"/>
  <pivotFields count="28">
    <pivotField showAll="0"/>
    <pivotField showAll="0"/>
    <pivotField showAll="0"/>
    <pivotField numFmtId="14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4"/>
        <item x="23"/>
        <item x="25"/>
        <item x="26"/>
        <item x="2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2">
        <item x="0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 defaultSubtotal="0"/>
    <pivotField showAll="0" defaultSubtotal="0">
      <items count="3">
        <item x="0"/>
        <item x="1"/>
        <item x="2"/>
      </items>
    </pivotField>
  </pivotFields>
  <rowFields count="2">
    <field x="15"/>
    <field x="24"/>
  </rowFields>
  <rowItems count="5">
    <i>
      <x/>
    </i>
    <i r="1">
      <x/>
    </i>
    <i r="1">
      <x v="1"/>
    </i>
    <i r="1">
      <x v="2"/>
    </i>
    <i t="grand">
      <x/>
    </i>
  </rowItems>
  <colItems count="1">
    <i/>
  </colItems>
  <dataFields count="1">
    <dataField name="求和项:合计总收入" fld="14" baseField="0" baseItem="0"/>
  </dataFields>
  <chartFormats count="19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3">
      <pivotArea type="data" outline="0" fieldPosition="0">
        <references count="3">
          <reference field="4294967294" count="1" selected="0">
            <x v="0"/>
          </reference>
          <reference field="15" count="1" selected="0">
            <x v="0"/>
          </reference>
          <reference field="24" count="1" selected="0">
            <x v="0"/>
          </reference>
        </references>
      </pivotArea>
    </chartFormat>
    <chartFormat chart="6" format="34">
      <pivotArea type="data" outline="0" fieldPosition="0">
        <references count="3">
          <reference field="4294967294" count="1" selected="0">
            <x v="0"/>
          </reference>
          <reference field="15" count="1" selected="0">
            <x v="0"/>
          </reference>
          <reference field="24" count="1" selected="0">
            <x v="1"/>
          </reference>
        </references>
      </pivotArea>
    </chartFormat>
    <chartFormat chart="6" format="35">
      <pivotArea type="data" outline="0" fieldPosition="0">
        <references count="3">
          <reference field="4294967294" count="1" selected="0">
            <x v="0"/>
          </reference>
          <reference field="15" count="1" selected="0">
            <x v="0"/>
          </reference>
          <reference field="24" count="1" selected="0">
            <x v="2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>
      <pivotArea type="data" outline="0" fieldPosition="0">
        <references count="3">
          <reference field="4294967294" count="1" selected="0">
            <x v="0"/>
          </reference>
          <reference field="15" count="1" selected="0">
            <x v="0"/>
          </reference>
          <reference field="24" count="1" selected="0">
            <x v="0"/>
          </reference>
        </references>
      </pivotArea>
    </chartFormat>
    <chartFormat chart="13" format="3">
      <pivotArea type="data" outline="0" fieldPosition="0">
        <references count="3">
          <reference field="4294967294" count="1" selected="0">
            <x v="0"/>
          </reference>
          <reference field="15" count="1" selected="0">
            <x v="0"/>
          </reference>
          <reference field="24" count="1" selected="0">
            <x v="1"/>
          </reference>
        </references>
      </pivotArea>
    </chartFormat>
    <chartFormat chart="13" format="4">
      <pivotArea type="data" outline="0" fieldPosition="0">
        <references count="3">
          <reference field="4294967294" count="1" selected="0">
            <x v="0"/>
          </reference>
          <reference field="15" count="1" selected="0">
            <x v="0"/>
          </reference>
          <reference field="24" count="1" selected="0">
            <x v="2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6">
      <pivotArea type="data" outline="0" fieldPosition="0">
        <references count="3">
          <reference field="4294967294" count="1" selected="0">
            <x v="0"/>
          </reference>
          <reference field="15" count="1" selected="0">
            <x v="0"/>
          </reference>
          <reference field="24" count="1" selected="0">
            <x v="0"/>
          </reference>
        </references>
      </pivotArea>
    </chartFormat>
    <chartFormat chart="14" format="7">
      <pivotArea type="data" outline="0" fieldPosition="0">
        <references count="3">
          <reference field="4294967294" count="1" selected="0">
            <x v="0"/>
          </reference>
          <reference field="15" count="1" selected="0">
            <x v="0"/>
          </reference>
          <reference field="24" count="1" selected="0">
            <x v="1"/>
          </reference>
        </references>
      </pivotArea>
    </chartFormat>
    <chartFormat chart="14" format="8">
      <pivotArea type="data" outline="0" fieldPosition="0">
        <references count="3">
          <reference field="4294967294" count="1" selected="0">
            <x v="0"/>
          </reference>
          <reference field="15" count="1" selected="0">
            <x v="0"/>
          </reference>
          <reference field="24" count="1" selected="0">
            <x v="2"/>
          </reference>
        </references>
      </pivotArea>
    </chartFormat>
    <chartFormat chart="10" format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0"/>
          </reference>
          <reference field="24" count="1" selected="0">
            <x v="0"/>
          </reference>
        </references>
      </pivotArea>
    </chartFormat>
    <chartFormat chart="10" format="2">
      <pivotArea type="data" outline="0" fieldPosition="0">
        <references count="3">
          <reference field="4294967294" count="1" selected="0">
            <x v="0"/>
          </reference>
          <reference field="15" count="1" selected="0">
            <x v="0"/>
          </reference>
          <reference field="24" count="1" selected="0">
            <x v="1"/>
          </reference>
        </references>
      </pivotArea>
    </chartFormat>
    <chartFormat chart="10" format="3">
      <pivotArea type="data" outline="0" fieldPosition="0">
        <references count="3">
          <reference field="4294967294" count="1" selected="0">
            <x v="0"/>
          </reference>
          <reference field="15" count="1" selected="0">
            <x v="0"/>
          </reference>
          <reference field="2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DB8E46-FDB8-46AA-A7C0-9BA4FA7A761E}" name="数据透视表6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">
  <location ref="A124:D130" firstHeaderRow="0" firstDataRow="1" firstDataCol="1"/>
  <pivotFields count="28">
    <pivotField dataField="1" showAll="0"/>
    <pivotField showAll="0"/>
    <pivotField showAll="0"/>
    <pivotField numFmtId="14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4"/>
        <item x="23"/>
        <item x="25"/>
        <item x="26"/>
        <item x="2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showAll="0"/>
    <pivotField showAll="0"/>
    <pivotField showAll="0" defaultSubtotal="0"/>
    <pivotField showAll="0" defaultSubtotal="0">
      <items count="3">
        <item x="0"/>
        <item x="1"/>
        <item x="2"/>
      </items>
    </pivotField>
  </pivotFields>
  <rowFields count="2">
    <field x="21"/>
    <field x="22"/>
  </rowFields>
  <rowItems count="6">
    <i>
      <x/>
    </i>
    <i r="1">
      <x/>
    </i>
    <i>
      <x v="1"/>
    </i>
    <i r="1">
      <x/>
    </i>
    <i r="1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计数项:学员 ID" fld="0" subtotal="count" baseField="17" baseItem="0"/>
    <dataField name="平均值项:学员生命周期价值 (LTV)" fld="23" subtotal="average" baseField="17" baseItem="0"/>
    <dataField name="平均值项:报名到首续费间隔天数" fld="18" subtotal="average" baseField="22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0349DD-E17A-427C-A556-D6C961AEE78A}" name="数据透视表5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0">
  <location ref="A97:E102" firstHeaderRow="0" firstDataRow="1" firstDataCol="1"/>
  <pivotFields count="28">
    <pivotField dataField="1" showAll="0"/>
    <pivotField showAll="0"/>
    <pivotField showAll="0"/>
    <pivotField numFmtId="14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4"/>
        <item x="23"/>
        <item x="25"/>
        <item x="26"/>
        <item x="27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2">
        <item x="0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 defaultSubtotal="0"/>
    <pivotField showAll="0" defaultSubtotal="0">
      <items count="3">
        <item x="0"/>
        <item x="1"/>
        <item x="2"/>
      </items>
    </pivotField>
  </pivotFields>
  <rowFields count="2">
    <field x="15"/>
    <field x="24"/>
  </rowFields>
  <rowItems count="5">
    <i>
      <x/>
    </i>
    <i r="1">
      <x/>
    </i>
    <i r="1">
      <x v="1"/>
    </i>
    <i r="1"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计数项:学员 ID" fld="0" subtotal="count" baseField="23" baseItem="1"/>
    <dataField name="求和项:首次缴费" fld="5" baseField="0" baseItem="0"/>
    <dataField name="求和项:总续费金额" fld="6" baseField="0" baseItem="0"/>
    <dataField name="求和项:合计总收入" fld="14" baseField="0" baseItem="0"/>
  </dataFields>
  <chartFormats count="2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1">
      <pivotArea type="data" outline="0" fieldPosition="0">
        <references count="3">
          <reference field="4294967294" count="1" selected="0">
            <x v="0"/>
          </reference>
          <reference field="15" count="1" selected="0">
            <x v="0"/>
          </reference>
          <reference field="24" count="1" selected="0">
            <x v="0"/>
          </reference>
        </references>
      </pivotArea>
    </chartFormat>
    <chartFormat chart="6" format="22">
      <pivotArea type="data" outline="0" fieldPosition="0">
        <references count="3">
          <reference field="4294967294" count="1" selected="0">
            <x v="0"/>
          </reference>
          <reference field="15" count="1" selected="0">
            <x v="0"/>
          </reference>
          <reference field="24" count="1" selected="0">
            <x v="1"/>
          </reference>
        </references>
      </pivotArea>
    </chartFormat>
    <chartFormat chart="6" format="23">
      <pivotArea type="data" outline="0" fieldPosition="0">
        <references count="3">
          <reference field="4294967294" count="1" selected="0">
            <x v="0"/>
          </reference>
          <reference field="15" count="1" selected="0">
            <x v="0"/>
          </reference>
          <reference field="24" count="1" selected="0">
            <x v="2"/>
          </reference>
        </references>
      </pivotArea>
    </chartFormat>
    <chartFormat chart="6" format="2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5">
      <pivotArea type="data" outline="0" fieldPosition="0">
        <references count="3">
          <reference field="4294967294" count="1" selected="0">
            <x v="1"/>
          </reference>
          <reference field="15" count="1" selected="0">
            <x v="0"/>
          </reference>
          <reference field="24" count="1" selected="0">
            <x v="0"/>
          </reference>
        </references>
      </pivotArea>
    </chartFormat>
    <chartFormat chart="6" format="26">
      <pivotArea type="data" outline="0" fieldPosition="0">
        <references count="3">
          <reference field="4294967294" count="1" selected="0">
            <x v="1"/>
          </reference>
          <reference field="15" count="1" selected="0">
            <x v="0"/>
          </reference>
          <reference field="24" count="1" selected="0">
            <x v="1"/>
          </reference>
        </references>
      </pivotArea>
    </chartFormat>
    <chartFormat chart="6" format="27">
      <pivotArea type="data" outline="0" fieldPosition="0">
        <references count="3">
          <reference field="4294967294" count="1" selected="0">
            <x v="1"/>
          </reference>
          <reference field="15" count="1" selected="0">
            <x v="0"/>
          </reference>
          <reference field="24" count="1" selected="0">
            <x v="2"/>
          </reference>
        </references>
      </pivotArea>
    </chartFormat>
    <chartFormat chart="6" format="2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29">
      <pivotArea type="data" outline="0" fieldPosition="0">
        <references count="3">
          <reference field="4294967294" count="1" selected="0">
            <x v="2"/>
          </reference>
          <reference field="15" count="1" selected="0">
            <x v="0"/>
          </reference>
          <reference field="24" count="1" selected="0">
            <x v="0"/>
          </reference>
        </references>
      </pivotArea>
    </chartFormat>
    <chartFormat chart="6" format="30">
      <pivotArea type="data" outline="0" fieldPosition="0">
        <references count="3">
          <reference field="4294967294" count="1" selected="0">
            <x v="2"/>
          </reference>
          <reference field="15" count="1" selected="0">
            <x v="0"/>
          </reference>
          <reference field="24" count="1" selected="0">
            <x v="1"/>
          </reference>
        </references>
      </pivotArea>
    </chartFormat>
    <chartFormat chart="6" format="31">
      <pivotArea type="data" outline="0" fieldPosition="0">
        <references count="3">
          <reference field="4294967294" count="1" selected="0">
            <x v="2"/>
          </reference>
          <reference field="15" count="1" selected="0">
            <x v="0"/>
          </reference>
          <reference field="24" count="1" selected="0">
            <x v="2"/>
          </reference>
        </references>
      </pivotArea>
    </chartFormat>
    <chartFormat chart="6" format="3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33">
      <pivotArea type="data" outline="0" fieldPosition="0">
        <references count="3">
          <reference field="4294967294" count="1" selected="0">
            <x v="3"/>
          </reference>
          <reference field="15" count="1" selected="0">
            <x v="0"/>
          </reference>
          <reference field="24" count="1" selected="0">
            <x v="0"/>
          </reference>
        </references>
      </pivotArea>
    </chartFormat>
    <chartFormat chart="6" format="34">
      <pivotArea type="data" outline="0" fieldPosition="0">
        <references count="3">
          <reference field="4294967294" count="1" selected="0">
            <x v="3"/>
          </reference>
          <reference field="15" count="1" selected="0">
            <x v="0"/>
          </reference>
          <reference field="24" count="1" selected="0">
            <x v="1"/>
          </reference>
        </references>
      </pivotArea>
    </chartFormat>
    <chartFormat chart="6" format="35">
      <pivotArea type="data" outline="0" fieldPosition="0">
        <references count="3">
          <reference field="4294967294" count="1" selected="0">
            <x v="3"/>
          </reference>
          <reference field="15" count="1" selected="0">
            <x v="0"/>
          </reference>
          <reference field="2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F9CEA-BAA2-4DA3-B078-64554E030FBC}">
  <dimension ref="A1:AH142"/>
  <sheetViews>
    <sheetView topLeftCell="A136" zoomScale="72" workbookViewId="0">
      <selection activeCell="G155" sqref="G155"/>
    </sheetView>
  </sheetViews>
  <sheetFormatPr defaultRowHeight="13.8" x14ac:dyDescent="0.25"/>
  <cols>
    <col min="1" max="1" width="10.88671875" bestFit="1" customWidth="1"/>
    <col min="2" max="2" width="15.44140625" bestFit="1" customWidth="1"/>
    <col min="3" max="3" width="34.109375" bestFit="1" customWidth="1"/>
    <col min="4" max="4" width="32.77734375" bestFit="1" customWidth="1"/>
    <col min="5" max="6" width="19.21875" bestFit="1" customWidth="1"/>
    <col min="7" max="7" width="34.109375" bestFit="1" customWidth="1"/>
    <col min="8" max="8" width="16.88671875" bestFit="1" customWidth="1"/>
    <col min="9" max="9" width="19.21875" bestFit="1" customWidth="1"/>
    <col min="10" max="10" width="34.109375" bestFit="1" customWidth="1"/>
    <col min="11" max="11" width="16.88671875" bestFit="1" customWidth="1"/>
    <col min="12" max="12" width="19.21875" bestFit="1" customWidth="1"/>
    <col min="13" max="13" width="34.109375" bestFit="1" customWidth="1"/>
    <col min="14" max="14" width="16.88671875" bestFit="1" customWidth="1"/>
    <col min="15" max="15" width="19.21875" bestFit="1" customWidth="1"/>
    <col min="16" max="16" width="34.109375" bestFit="1" customWidth="1"/>
    <col min="17" max="17" width="16.88671875" bestFit="1" customWidth="1"/>
    <col min="18" max="18" width="19.21875" bestFit="1" customWidth="1"/>
    <col min="19" max="19" width="34.109375" bestFit="1" customWidth="1"/>
    <col min="20" max="20" width="16.88671875" bestFit="1" customWidth="1"/>
    <col min="21" max="21" width="19.21875" bestFit="1" customWidth="1"/>
    <col min="22" max="22" width="34.109375" bestFit="1" customWidth="1"/>
    <col min="23" max="23" width="16.88671875" bestFit="1" customWidth="1"/>
    <col min="24" max="24" width="19.21875" bestFit="1" customWidth="1"/>
    <col min="25" max="25" width="34.109375" bestFit="1" customWidth="1"/>
    <col min="26" max="26" width="16.88671875" bestFit="1" customWidth="1"/>
    <col min="27" max="27" width="19.21875" bestFit="1" customWidth="1"/>
    <col min="28" max="28" width="34.109375" bestFit="1" customWidth="1"/>
    <col min="29" max="29" width="16.88671875" bestFit="1" customWidth="1"/>
    <col min="30" max="30" width="19.21875" bestFit="1" customWidth="1"/>
    <col min="31" max="31" width="34.109375" bestFit="1" customWidth="1"/>
    <col min="32" max="32" width="21.5546875" bestFit="1" customWidth="1"/>
    <col min="33" max="33" width="23.77734375" bestFit="1" customWidth="1"/>
    <col min="34" max="34" width="38.5546875" bestFit="1" customWidth="1"/>
  </cols>
  <sheetData>
    <row r="1" spans="1:11" x14ac:dyDescent="0.25">
      <c r="A1" s="23" t="s">
        <v>106</v>
      </c>
      <c r="B1" t="s">
        <v>113</v>
      </c>
      <c r="C1" t="s">
        <v>111</v>
      </c>
      <c r="D1" t="s">
        <v>112</v>
      </c>
      <c r="E1" t="s">
        <v>138</v>
      </c>
      <c r="H1" s="28" t="s">
        <v>139</v>
      </c>
      <c r="I1" s="28"/>
      <c r="J1" s="28"/>
      <c r="K1" s="28"/>
    </row>
    <row r="2" spans="1:11" x14ac:dyDescent="0.25">
      <c r="A2" s="24" t="s">
        <v>107</v>
      </c>
      <c r="B2">
        <v>6</v>
      </c>
      <c r="C2">
        <v>11000</v>
      </c>
      <c r="D2">
        <v>7800</v>
      </c>
      <c r="E2">
        <v>3133.3333333333335</v>
      </c>
      <c r="H2" s="28"/>
      <c r="I2" s="28"/>
      <c r="J2" s="28"/>
      <c r="K2" s="28"/>
    </row>
    <row r="3" spans="1:11" x14ac:dyDescent="0.25">
      <c r="A3" s="24" t="s">
        <v>108</v>
      </c>
      <c r="B3">
        <v>5</v>
      </c>
      <c r="C3">
        <v>8400</v>
      </c>
      <c r="D3">
        <v>9600</v>
      </c>
      <c r="E3">
        <v>3600</v>
      </c>
      <c r="H3" s="28"/>
      <c r="I3" s="28"/>
      <c r="J3" s="28"/>
      <c r="K3" s="28"/>
    </row>
    <row r="4" spans="1:11" x14ac:dyDescent="0.25">
      <c r="A4" s="24" t="s">
        <v>109</v>
      </c>
      <c r="B4">
        <v>21</v>
      </c>
      <c r="C4">
        <v>33800</v>
      </c>
      <c r="D4">
        <v>44400</v>
      </c>
      <c r="E4">
        <v>3723.8095238095239</v>
      </c>
      <c r="H4" s="28"/>
      <c r="I4" s="28"/>
      <c r="J4" s="28"/>
      <c r="K4" s="28"/>
    </row>
    <row r="5" spans="1:11" x14ac:dyDescent="0.25">
      <c r="A5" s="24" t="s">
        <v>110</v>
      </c>
      <c r="B5">
        <v>32</v>
      </c>
      <c r="C5">
        <v>53200</v>
      </c>
      <c r="D5">
        <v>61800</v>
      </c>
      <c r="E5">
        <v>3593.75</v>
      </c>
      <c r="H5" s="28"/>
      <c r="I5" s="28"/>
      <c r="J5" s="28"/>
      <c r="K5" s="28"/>
    </row>
    <row r="6" spans="1:11" x14ac:dyDescent="0.25">
      <c r="H6" s="28"/>
      <c r="I6" s="28"/>
      <c r="J6" s="28"/>
      <c r="K6" s="28"/>
    </row>
    <row r="7" spans="1:11" x14ac:dyDescent="0.25">
      <c r="H7" s="28"/>
      <c r="I7" s="28"/>
      <c r="J7" s="28"/>
      <c r="K7" s="28"/>
    </row>
    <row r="8" spans="1:11" x14ac:dyDescent="0.25">
      <c r="H8" s="28"/>
      <c r="I8" s="28"/>
      <c r="J8" s="28"/>
      <c r="K8" s="28"/>
    </row>
    <row r="9" spans="1:11" x14ac:dyDescent="0.25">
      <c r="H9" s="28"/>
      <c r="I9" s="28"/>
      <c r="J9" s="28"/>
      <c r="K9" s="28"/>
    </row>
    <row r="10" spans="1:11" x14ac:dyDescent="0.25">
      <c r="H10" s="28"/>
      <c r="I10" s="28"/>
      <c r="J10" s="28"/>
      <c r="K10" s="28"/>
    </row>
    <row r="11" spans="1:11" x14ac:dyDescent="0.25">
      <c r="H11" s="28"/>
      <c r="I11" s="28"/>
      <c r="J11" s="28"/>
      <c r="K11" s="28"/>
    </row>
    <row r="23" spans="1:12" x14ac:dyDescent="0.25">
      <c r="A23" s="23" t="s">
        <v>106</v>
      </c>
      <c r="B23" t="s">
        <v>152</v>
      </c>
      <c r="C23" t="s">
        <v>153</v>
      </c>
      <c r="D23" t="s">
        <v>154</v>
      </c>
    </row>
    <row r="24" spans="1:12" x14ac:dyDescent="0.25">
      <c r="A24" s="24">
        <v>2025</v>
      </c>
      <c r="B24">
        <v>53200</v>
      </c>
      <c r="C24">
        <v>57000</v>
      </c>
      <c r="D24">
        <v>110200</v>
      </c>
      <c r="H24" s="28" t="s">
        <v>155</v>
      </c>
      <c r="I24" s="28"/>
      <c r="J24" s="28"/>
      <c r="K24" s="28"/>
      <c r="L24" s="28"/>
    </row>
    <row r="25" spans="1:12" x14ac:dyDescent="0.25">
      <c r="A25" s="25">
        <v>1</v>
      </c>
      <c r="B25">
        <v>4800</v>
      </c>
      <c r="C25">
        <v>0</v>
      </c>
      <c r="D25">
        <v>4800</v>
      </c>
      <c r="H25" s="28"/>
      <c r="I25" s="28"/>
      <c r="J25" s="28"/>
      <c r="K25" s="28"/>
      <c r="L25" s="28"/>
    </row>
    <row r="26" spans="1:12" x14ac:dyDescent="0.25">
      <c r="A26" s="25">
        <v>2</v>
      </c>
      <c r="B26">
        <v>5200</v>
      </c>
      <c r="C26">
        <v>0</v>
      </c>
      <c r="D26">
        <v>5200</v>
      </c>
      <c r="H26" s="28"/>
      <c r="I26" s="28"/>
      <c r="J26" s="28"/>
      <c r="K26" s="28"/>
      <c r="L26" s="28"/>
    </row>
    <row r="27" spans="1:12" x14ac:dyDescent="0.25">
      <c r="A27" s="25">
        <v>3</v>
      </c>
      <c r="B27">
        <v>3600</v>
      </c>
      <c r="C27">
        <v>0</v>
      </c>
      <c r="D27">
        <v>3600</v>
      </c>
      <c r="H27" s="28"/>
      <c r="I27" s="28"/>
      <c r="J27" s="28"/>
      <c r="K27" s="28"/>
      <c r="L27" s="28"/>
    </row>
    <row r="28" spans="1:12" x14ac:dyDescent="0.25">
      <c r="A28" s="25">
        <v>4</v>
      </c>
      <c r="B28">
        <v>1200</v>
      </c>
      <c r="C28">
        <v>2400</v>
      </c>
      <c r="D28">
        <v>3600</v>
      </c>
      <c r="H28" s="28"/>
      <c r="I28" s="28"/>
      <c r="J28" s="28"/>
      <c r="K28" s="28"/>
      <c r="L28" s="28"/>
    </row>
    <row r="29" spans="1:12" x14ac:dyDescent="0.25">
      <c r="A29" s="25">
        <v>5</v>
      </c>
      <c r="B29">
        <v>2400</v>
      </c>
      <c r="C29">
        <v>1200</v>
      </c>
      <c r="D29">
        <v>3600</v>
      </c>
      <c r="H29" s="28"/>
      <c r="I29" s="28"/>
      <c r="J29" s="28"/>
      <c r="K29" s="28"/>
      <c r="L29" s="28"/>
    </row>
    <row r="30" spans="1:12" x14ac:dyDescent="0.25">
      <c r="A30" s="25">
        <v>6</v>
      </c>
      <c r="B30">
        <v>6600</v>
      </c>
      <c r="C30">
        <v>4800</v>
      </c>
      <c r="D30">
        <v>11400</v>
      </c>
      <c r="H30" s="28"/>
      <c r="I30" s="28"/>
      <c r="J30" s="28"/>
      <c r="K30" s="28"/>
      <c r="L30" s="28"/>
    </row>
    <row r="31" spans="1:12" x14ac:dyDescent="0.25">
      <c r="A31" s="25">
        <v>7</v>
      </c>
      <c r="B31">
        <v>10800</v>
      </c>
      <c r="C31">
        <v>6000</v>
      </c>
      <c r="D31">
        <v>16800</v>
      </c>
      <c r="H31" s="28"/>
      <c r="I31" s="28"/>
      <c r="J31" s="28"/>
      <c r="K31" s="28"/>
      <c r="L31" s="28"/>
    </row>
    <row r="32" spans="1:12" x14ac:dyDescent="0.25">
      <c r="A32" s="25">
        <v>8</v>
      </c>
      <c r="B32">
        <v>11400</v>
      </c>
      <c r="C32">
        <v>3600</v>
      </c>
      <c r="D32">
        <v>15000</v>
      </c>
      <c r="H32" s="28"/>
      <c r="I32" s="28"/>
      <c r="J32" s="28"/>
      <c r="K32" s="28"/>
      <c r="L32" s="28"/>
    </row>
    <row r="33" spans="1:12" x14ac:dyDescent="0.25">
      <c r="A33" s="25">
        <v>9</v>
      </c>
      <c r="B33">
        <v>6000</v>
      </c>
      <c r="C33">
        <v>6000</v>
      </c>
      <c r="D33">
        <v>12000</v>
      </c>
      <c r="H33" s="28"/>
      <c r="I33" s="28"/>
      <c r="J33" s="28"/>
      <c r="K33" s="28"/>
      <c r="L33" s="28"/>
    </row>
    <row r="34" spans="1:12" x14ac:dyDescent="0.25">
      <c r="A34" s="25">
        <v>10</v>
      </c>
      <c r="B34">
        <v>1200</v>
      </c>
      <c r="C34">
        <v>9600</v>
      </c>
      <c r="D34">
        <v>10800</v>
      </c>
      <c r="H34" s="28"/>
      <c r="I34" s="28"/>
      <c r="J34" s="28"/>
      <c r="K34" s="28"/>
      <c r="L34" s="28"/>
    </row>
    <row r="35" spans="1:12" x14ac:dyDescent="0.25">
      <c r="A35" s="25">
        <v>11</v>
      </c>
      <c r="B35">
        <v>0</v>
      </c>
      <c r="C35">
        <v>10800</v>
      </c>
      <c r="D35">
        <v>10800</v>
      </c>
      <c r="H35" s="28"/>
      <c r="I35" s="28"/>
      <c r="J35" s="28"/>
      <c r="K35" s="28"/>
      <c r="L35" s="28"/>
    </row>
    <row r="36" spans="1:12" x14ac:dyDescent="0.25">
      <c r="A36" s="25">
        <v>12</v>
      </c>
      <c r="B36">
        <v>0</v>
      </c>
      <c r="C36">
        <v>12600</v>
      </c>
      <c r="D36">
        <v>12600</v>
      </c>
      <c r="H36" s="28"/>
      <c r="I36" s="28"/>
      <c r="J36" s="28"/>
      <c r="K36" s="28"/>
      <c r="L36" s="28"/>
    </row>
    <row r="37" spans="1:12" x14ac:dyDescent="0.25">
      <c r="A37" s="24">
        <v>2026</v>
      </c>
      <c r="B37">
        <v>0</v>
      </c>
      <c r="C37">
        <v>4800</v>
      </c>
      <c r="D37">
        <v>4800</v>
      </c>
    </row>
    <row r="38" spans="1:12" x14ac:dyDescent="0.25">
      <c r="A38" s="25">
        <v>1</v>
      </c>
      <c r="B38">
        <v>0</v>
      </c>
      <c r="C38">
        <v>4200</v>
      </c>
      <c r="D38">
        <v>4200</v>
      </c>
    </row>
    <row r="39" spans="1:12" x14ac:dyDescent="0.25">
      <c r="A39" s="25">
        <v>2</v>
      </c>
      <c r="B39">
        <v>0</v>
      </c>
      <c r="C39">
        <v>600</v>
      </c>
      <c r="D39">
        <v>600</v>
      </c>
    </row>
    <row r="40" spans="1:12" x14ac:dyDescent="0.25">
      <c r="A40" s="25">
        <v>3</v>
      </c>
      <c r="B40">
        <v>0</v>
      </c>
      <c r="C40">
        <v>0</v>
      </c>
      <c r="D40">
        <v>0</v>
      </c>
    </row>
    <row r="41" spans="1:12" x14ac:dyDescent="0.25">
      <c r="A41" s="25">
        <v>4</v>
      </c>
      <c r="B41">
        <v>0</v>
      </c>
      <c r="C41">
        <v>0</v>
      </c>
      <c r="D41">
        <v>0</v>
      </c>
    </row>
    <row r="42" spans="1:12" x14ac:dyDescent="0.25">
      <c r="A42" s="25">
        <v>5</v>
      </c>
      <c r="B42">
        <v>0</v>
      </c>
      <c r="C42">
        <v>0</v>
      </c>
      <c r="D42">
        <v>0</v>
      </c>
    </row>
    <row r="43" spans="1:12" x14ac:dyDescent="0.25">
      <c r="A43" s="24" t="s">
        <v>110</v>
      </c>
      <c r="B43">
        <v>53200</v>
      </c>
      <c r="C43">
        <v>61800</v>
      </c>
      <c r="D43">
        <v>115000</v>
      </c>
    </row>
    <row r="61" spans="1:34" x14ac:dyDescent="0.25">
      <c r="B61" s="23" t="s">
        <v>156</v>
      </c>
    </row>
    <row r="62" spans="1:34" x14ac:dyDescent="0.25">
      <c r="B62" t="s">
        <v>114</v>
      </c>
      <c r="E62" t="s">
        <v>115</v>
      </c>
      <c r="H62" t="s">
        <v>116</v>
      </c>
      <c r="K62" t="s">
        <v>117</v>
      </c>
      <c r="N62" t="s">
        <v>118</v>
      </c>
      <c r="Q62" t="s">
        <v>119</v>
      </c>
      <c r="T62" t="s">
        <v>120</v>
      </c>
      <c r="W62" t="s">
        <v>121</v>
      </c>
      <c r="Z62" t="s">
        <v>122</v>
      </c>
      <c r="AC62" t="s">
        <v>123</v>
      </c>
      <c r="AF62" t="s">
        <v>157</v>
      </c>
      <c r="AG62" t="s">
        <v>158</v>
      </c>
      <c r="AH62" t="s">
        <v>159</v>
      </c>
    </row>
    <row r="63" spans="1:34" x14ac:dyDescent="0.25">
      <c r="A63" s="23" t="s">
        <v>106</v>
      </c>
      <c r="B63" t="s">
        <v>111</v>
      </c>
      <c r="C63" t="s">
        <v>112</v>
      </c>
      <c r="D63" t="s">
        <v>138</v>
      </c>
      <c r="E63" t="s">
        <v>111</v>
      </c>
      <c r="F63" t="s">
        <v>112</v>
      </c>
      <c r="G63" t="s">
        <v>138</v>
      </c>
      <c r="H63" t="s">
        <v>111</v>
      </c>
      <c r="I63" t="s">
        <v>112</v>
      </c>
      <c r="J63" t="s">
        <v>138</v>
      </c>
      <c r="K63" t="s">
        <v>111</v>
      </c>
      <c r="L63" t="s">
        <v>112</v>
      </c>
      <c r="M63" t="s">
        <v>138</v>
      </c>
      <c r="N63" t="s">
        <v>111</v>
      </c>
      <c r="O63" t="s">
        <v>112</v>
      </c>
      <c r="P63" t="s">
        <v>138</v>
      </c>
      <c r="Q63" t="s">
        <v>111</v>
      </c>
      <c r="R63" t="s">
        <v>112</v>
      </c>
      <c r="S63" t="s">
        <v>138</v>
      </c>
      <c r="T63" t="s">
        <v>111</v>
      </c>
      <c r="U63" t="s">
        <v>112</v>
      </c>
      <c r="V63" t="s">
        <v>138</v>
      </c>
      <c r="W63" t="s">
        <v>111</v>
      </c>
      <c r="X63" t="s">
        <v>112</v>
      </c>
      <c r="Y63" t="s">
        <v>138</v>
      </c>
      <c r="Z63" t="s">
        <v>111</v>
      </c>
      <c r="AA63" t="s">
        <v>112</v>
      </c>
      <c r="AB63" t="s">
        <v>138</v>
      </c>
      <c r="AC63" t="s">
        <v>111</v>
      </c>
      <c r="AD63" t="s">
        <v>112</v>
      </c>
      <c r="AE63" t="s">
        <v>138</v>
      </c>
    </row>
    <row r="64" spans="1:34" x14ac:dyDescent="0.25">
      <c r="A64" s="24">
        <v>2025</v>
      </c>
      <c r="B64">
        <v>4800</v>
      </c>
      <c r="C64">
        <v>10800</v>
      </c>
      <c r="D64">
        <v>5200</v>
      </c>
      <c r="E64">
        <v>5200</v>
      </c>
      <c r="F64">
        <v>10800</v>
      </c>
      <c r="G64">
        <v>5333.333333333333</v>
      </c>
      <c r="H64">
        <v>3600</v>
      </c>
      <c r="I64">
        <v>10800</v>
      </c>
      <c r="J64">
        <v>4800</v>
      </c>
      <c r="K64">
        <v>1200</v>
      </c>
      <c r="L64">
        <v>3600</v>
      </c>
      <c r="M64">
        <v>4800</v>
      </c>
      <c r="N64">
        <v>2400</v>
      </c>
      <c r="O64">
        <v>1200</v>
      </c>
      <c r="P64">
        <v>3600</v>
      </c>
      <c r="Q64">
        <v>6600</v>
      </c>
      <c r="R64">
        <v>4200</v>
      </c>
      <c r="S64">
        <v>3600</v>
      </c>
      <c r="T64">
        <v>10800</v>
      </c>
      <c r="U64">
        <v>9000</v>
      </c>
      <c r="V64">
        <v>3300</v>
      </c>
      <c r="W64">
        <v>11400</v>
      </c>
      <c r="X64">
        <v>6600</v>
      </c>
      <c r="Y64">
        <v>2571.4285714285716</v>
      </c>
      <c r="Z64">
        <v>6000</v>
      </c>
      <c r="AA64">
        <v>3600</v>
      </c>
      <c r="AB64">
        <v>2400</v>
      </c>
      <c r="AC64">
        <v>1200</v>
      </c>
      <c r="AD64">
        <v>1200</v>
      </c>
      <c r="AE64">
        <v>2400</v>
      </c>
      <c r="AF64">
        <v>53200</v>
      </c>
      <c r="AG64">
        <v>61800</v>
      </c>
      <c r="AH64">
        <v>3593.75</v>
      </c>
    </row>
    <row r="65" spans="1:34" x14ac:dyDescent="0.25">
      <c r="A65" s="25" t="s">
        <v>107</v>
      </c>
      <c r="E65">
        <v>2000</v>
      </c>
      <c r="F65">
        <v>3600</v>
      </c>
      <c r="G65">
        <v>5600</v>
      </c>
      <c r="W65">
        <v>9000</v>
      </c>
      <c r="X65">
        <v>4200</v>
      </c>
      <c r="Y65">
        <v>2640</v>
      </c>
      <c r="AF65">
        <v>11000</v>
      </c>
      <c r="AG65">
        <v>7800</v>
      </c>
      <c r="AH65">
        <v>3133.3333333333335</v>
      </c>
    </row>
    <row r="66" spans="1:34" x14ac:dyDescent="0.25">
      <c r="A66" s="25" t="s">
        <v>108</v>
      </c>
      <c r="B66">
        <v>2400</v>
      </c>
      <c r="C66">
        <v>3600</v>
      </c>
      <c r="D66">
        <v>6000</v>
      </c>
      <c r="Q66">
        <v>1200</v>
      </c>
      <c r="R66">
        <v>2400</v>
      </c>
      <c r="S66">
        <v>3600</v>
      </c>
      <c r="T66">
        <v>1200</v>
      </c>
      <c r="U66">
        <v>2400</v>
      </c>
      <c r="V66">
        <v>3600</v>
      </c>
      <c r="W66">
        <v>1200</v>
      </c>
      <c r="X66">
        <v>1200</v>
      </c>
      <c r="Y66">
        <v>2400</v>
      </c>
      <c r="Z66">
        <v>2400</v>
      </c>
      <c r="AA66">
        <v>0</v>
      </c>
      <c r="AB66">
        <v>2400</v>
      </c>
      <c r="AF66">
        <v>8400</v>
      </c>
      <c r="AG66">
        <v>9600</v>
      </c>
      <c r="AH66">
        <v>3600</v>
      </c>
    </row>
    <row r="67" spans="1:34" x14ac:dyDescent="0.25">
      <c r="A67" s="25" t="s">
        <v>109</v>
      </c>
      <c r="B67">
        <v>2400</v>
      </c>
      <c r="C67">
        <v>7200</v>
      </c>
      <c r="D67">
        <v>4800</v>
      </c>
      <c r="E67">
        <v>3200</v>
      </c>
      <c r="F67">
        <v>7200</v>
      </c>
      <c r="G67">
        <v>5200</v>
      </c>
      <c r="H67">
        <v>3600</v>
      </c>
      <c r="I67">
        <v>10800</v>
      </c>
      <c r="J67">
        <v>4800</v>
      </c>
      <c r="K67">
        <v>1200</v>
      </c>
      <c r="L67">
        <v>3600</v>
      </c>
      <c r="M67">
        <v>4800</v>
      </c>
      <c r="N67">
        <v>2400</v>
      </c>
      <c r="O67">
        <v>1200</v>
      </c>
      <c r="P67">
        <v>3600</v>
      </c>
      <c r="Q67">
        <v>5400</v>
      </c>
      <c r="R67">
        <v>1800</v>
      </c>
      <c r="S67">
        <v>3600</v>
      </c>
      <c r="T67">
        <v>9600</v>
      </c>
      <c r="U67">
        <v>6600</v>
      </c>
      <c r="V67">
        <v>3240</v>
      </c>
      <c r="W67">
        <v>1200</v>
      </c>
      <c r="X67">
        <v>1200</v>
      </c>
      <c r="Y67">
        <v>2400</v>
      </c>
      <c r="Z67">
        <v>3600</v>
      </c>
      <c r="AA67">
        <v>3600</v>
      </c>
      <c r="AB67">
        <v>2400</v>
      </c>
      <c r="AC67">
        <v>1200</v>
      </c>
      <c r="AD67">
        <v>1200</v>
      </c>
      <c r="AE67">
        <v>2400</v>
      </c>
      <c r="AF67">
        <v>33800</v>
      </c>
      <c r="AG67">
        <v>44400</v>
      </c>
      <c r="AH67">
        <v>3723.8095238095239</v>
      </c>
    </row>
    <row r="68" spans="1:34" x14ac:dyDescent="0.25">
      <c r="A68" s="24" t="s">
        <v>110</v>
      </c>
      <c r="B68">
        <v>4800</v>
      </c>
      <c r="C68">
        <v>10800</v>
      </c>
      <c r="D68">
        <v>5200</v>
      </c>
      <c r="E68">
        <v>5200</v>
      </c>
      <c r="F68">
        <v>10800</v>
      </c>
      <c r="G68">
        <v>5333.333333333333</v>
      </c>
      <c r="H68">
        <v>3600</v>
      </c>
      <c r="I68">
        <v>10800</v>
      </c>
      <c r="J68">
        <v>4800</v>
      </c>
      <c r="K68">
        <v>1200</v>
      </c>
      <c r="L68">
        <v>3600</v>
      </c>
      <c r="M68">
        <v>4800</v>
      </c>
      <c r="N68">
        <v>2400</v>
      </c>
      <c r="O68">
        <v>1200</v>
      </c>
      <c r="P68">
        <v>3600</v>
      </c>
      <c r="Q68">
        <v>6600</v>
      </c>
      <c r="R68">
        <v>4200</v>
      </c>
      <c r="S68">
        <v>3600</v>
      </c>
      <c r="T68">
        <v>10800</v>
      </c>
      <c r="U68">
        <v>9000</v>
      </c>
      <c r="V68">
        <v>3300</v>
      </c>
      <c r="W68">
        <v>11400</v>
      </c>
      <c r="X68">
        <v>6600</v>
      </c>
      <c r="Y68">
        <v>2571.4285714285716</v>
      </c>
      <c r="Z68">
        <v>6000</v>
      </c>
      <c r="AA68">
        <v>3600</v>
      </c>
      <c r="AB68">
        <v>2400</v>
      </c>
      <c r="AC68">
        <v>1200</v>
      </c>
      <c r="AD68">
        <v>1200</v>
      </c>
      <c r="AE68">
        <v>2400</v>
      </c>
      <c r="AF68">
        <v>53200</v>
      </c>
      <c r="AG68">
        <v>61800</v>
      </c>
      <c r="AH68">
        <v>3593.75</v>
      </c>
    </row>
    <row r="73" spans="1:34" x14ac:dyDescent="0.25">
      <c r="H73" s="28" t="s">
        <v>160</v>
      </c>
      <c r="I73" s="28"/>
      <c r="J73" s="28"/>
    </row>
    <row r="74" spans="1:34" x14ac:dyDescent="0.25">
      <c r="H74" s="28"/>
      <c r="I74" s="28"/>
      <c r="J74" s="28"/>
    </row>
    <row r="75" spans="1:34" x14ac:dyDescent="0.25">
      <c r="H75" s="28"/>
      <c r="I75" s="28"/>
      <c r="J75" s="28"/>
    </row>
    <row r="76" spans="1:34" x14ac:dyDescent="0.25">
      <c r="H76" s="28"/>
      <c r="I76" s="28"/>
      <c r="J76" s="28"/>
    </row>
    <row r="77" spans="1:34" x14ac:dyDescent="0.25">
      <c r="H77" s="28"/>
      <c r="I77" s="28"/>
      <c r="J77" s="28"/>
    </row>
    <row r="78" spans="1:34" x14ac:dyDescent="0.25">
      <c r="H78" s="28"/>
      <c r="I78" s="28"/>
      <c r="J78" s="28"/>
    </row>
    <row r="79" spans="1:34" x14ac:dyDescent="0.25">
      <c r="H79" s="28"/>
      <c r="I79" s="28"/>
      <c r="J79" s="28"/>
    </row>
    <row r="80" spans="1:34" x14ac:dyDescent="0.25">
      <c r="H80" s="28"/>
      <c r="I80" s="28"/>
      <c r="J80" s="28"/>
    </row>
    <row r="81" spans="8:10" x14ac:dyDescent="0.25">
      <c r="H81" s="28"/>
      <c r="I81" s="28"/>
      <c r="J81" s="28"/>
    </row>
    <row r="82" spans="8:10" x14ac:dyDescent="0.25">
      <c r="H82" s="28"/>
      <c r="I82" s="28"/>
      <c r="J82" s="28"/>
    </row>
    <row r="83" spans="8:10" x14ac:dyDescent="0.25">
      <c r="H83" s="28"/>
      <c r="I83" s="28"/>
      <c r="J83" s="28"/>
    </row>
    <row r="84" spans="8:10" x14ac:dyDescent="0.25">
      <c r="H84" s="28"/>
      <c r="I84" s="28"/>
      <c r="J84" s="28"/>
    </row>
    <row r="85" spans="8:10" x14ac:dyDescent="0.25">
      <c r="H85" s="28"/>
      <c r="I85" s="28"/>
      <c r="J85" s="28"/>
    </row>
    <row r="86" spans="8:10" x14ac:dyDescent="0.25">
      <c r="H86" s="28"/>
      <c r="I86" s="28"/>
      <c r="J86" s="28"/>
    </row>
    <row r="97" spans="1:9" x14ac:dyDescent="0.25">
      <c r="A97" s="23" t="s">
        <v>106</v>
      </c>
      <c r="B97" t="s">
        <v>113</v>
      </c>
      <c r="C97" t="s">
        <v>111</v>
      </c>
      <c r="D97" t="s">
        <v>112</v>
      </c>
      <c r="E97" t="s">
        <v>169</v>
      </c>
    </row>
    <row r="98" spans="1:9" x14ac:dyDescent="0.25">
      <c r="A98" s="24">
        <v>2025</v>
      </c>
      <c r="B98">
        <v>32</v>
      </c>
      <c r="C98">
        <v>53200</v>
      </c>
      <c r="D98">
        <v>61800</v>
      </c>
      <c r="E98">
        <v>115000</v>
      </c>
    </row>
    <row r="99" spans="1:9" x14ac:dyDescent="0.25">
      <c r="A99" s="25" t="s">
        <v>161</v>
      </c>
      <c r="B99">
        <v>10</v>
      </c>
      <c r="C99">
        <v>14400</v>
      </c>
      <c r="D99">
        <v>9600</v>
      </c>
      <c r="E99">
        <v>24000</v>
      </c>
    </row>
    <row r="100" spans="1:9" x14ac:dyDescent="0.25">
      <c r="A100" s="25" t="s">
        <v>162</v>
      </c>
      <c r="B100">
        <v>3</v>
      </c>
      <c r="C100">
        <v>6400</v>
      </c>
      <c r="D100">
        <v>10800</v>
      </c>
      <c r="E100">
        <v>17200</v>
      </c>
      <c r="G100" s="28" t="s">
        <v>164</v>
      </c>
      <c r="H100" s="28"/>
      <c r="I100" s="28"/>
    </row>
    <row r="101" spans="1:9" x14ac:dyDescent="0.25">
      <c r="A101" s="25" t="s">
        <v>163</v>
      </c>
      <c r="B101">
        <v>19</v>
      </c>
      <c r="C101">
        <v>32400</v>
      </c>
      <c r="D101">
        <v>41400</v>
      </c>
      <c r="E101">
        <v>73800</v>
      </c>
      <c r="G101" s="28"/>
      <c r="H101" s="28"/>
      <c r="I101" s="28"/>
    </row>
    <row r="102" spans="1:9" x14ac:dyDescent="0.25">
      <c r="A102" s="24" t="s">
        <v>110</v>
      </c>
      <c r="B102">
        <v>32</v>
      </c>
      <c r="C102">
        <v>53200</v>
      </c>
      <c r="D102">
        <v>61800</v>
      </c>
      <c r="E102">
        <v>115000</v>
      </c>
      <c r="G102" s="28"/>
      <c r="H102" s="28"/>
      <c r="I102" s="28"/>
    </row>
    <row r="103" spans="1:9" x14ac:dyDescent="0.25">
      <c r="G103" s="28"/>
      <c r="H103" s="28"/>
      <c r="I103" s="28"/>
    </row>
    <row r="104" spans="1:9" x14ac:dyDescent="0.25">
      <c r="G104" s="28"/>
      <c r="H104" s="28"/>
      <c r="I104" s="28"/>
    </row>
    <row r="105" spans="1:9" x14ac:dyDescent="0.25">
      <c r="G105" s="28"/>
      <c r="H105" s="28"/>
      <c r="I105" s="28"/>
    </row>
    <row r="106" spans="1:9" x14ac:dyDescent="0.25">
      <c r="G106" s="28"/>
      <c r="H106" s="28"/>
      <c r="I106" s="28"/>
    </row>
    <row r="107" spans="1:9" x14ac:dyDescent="0.25">
      <c r="G107" s="28"/>
      <c r="H107" s="28"/>
      <c r="I107" s="28"/>
    </row>
    <row r="108" spans="1:9" x14ac:dyDescent="0.25">
      <c r="G108" s="28"/>
      <c r="H108" s="28"/>
      <c r="I108" s="28"/>
    </row>
    <row r="109" spans="1:9" x14ac:dyDescent="0.25">
      <c r="G109" s="28"/>
      <c r="H109" s="28"/>
      <c r="I109" s="28"/>
    </row>
    <row r="110" spans="1:9" x14ac:dyDescent="0.25">
      <c r="G110" s="28"/>
      <c r="H110" s="28"/>
      <c r="I110" s="28"/>
    </row>
    <row r="111" spans="1:9" x14ac:dyDescent="0.25">
      <c r="G111" s="28"/>
      <c r="H111" s="28"/>
      <c r="I111" s="28"/>
    </row>
    <row r="112" spans="1:9" x14ac:dyDescent="0.25">
      <c r="G112" s="28"/>
      <c r="H112" s="28"/>
      <c r="I112" s="28"/>
    </row>
    <row r="113" spans="1:11" x14ac:dyDescent="0.25">
      <c r="G113" s="28"/>
      <c r="H113" s="28"/>
      <c r="I113" s="28"/>
    </row>
    <row r="124" spans="1:11" x14ac:dyDescent="0.25">
      <c r="A124" s="23" t="s">
        <v>106</v>
      </c>
      <c r="B124" t="s">
        <v>113</v>
      </c>
      <c r="C124" t="s">
        <v>138</v>
      </c>
      <c r="D124" t="s">
        <v>167</v>
      </c>
    </row>
    <row r="125" spans="1:11" x14ac:dyDescent="0.25">
      <c r="A125" s="24" t="s">
        <v>165</v>
      </c>
      <c r="B125">
        <v>1</v>
      </c>
      <c r="C125">
        <v>2400</v>
      </c>
      <c r="D125">
        <v>84</v>
      </c>
      <c r="J125" s="28" t="s">
        <v>168</v>
      </c>
      <c r="K125" s="28"/>
    </row>
    <row r="126" spans="1:11" x14ac:dyDescent="0.25">
      <c r="A126" s="25" t="s">
        <v>165</v>
      </c>
      <c r="B126">
        <v>1</v>
      </c>
      <c r="C126">
        <v>2400</v>
      </c>
      <c r="D126">
        <v>84</v>
      </c>
      <c r="J126" s="28"/>
      <c r="K126" s="28"/>
    </row>
    <row r="127" spans="1:11" x14ac:dyDescent="0.25">
      <c r="A127" s="24" t="s">
        <v>166</v>
      </c>
      <c r="B127">
        <v>31</v>
      </c>
      <c r="C127">
        <v>3632.2580645161293</v>
      </c>
      <c r="D127">
        <v>121.93548387096774</v>
      </c>
      <c r="J127" s="28"/>
      <c r="K127" s="28"/>
    </row>
    <row r="128" spans="1:11" x14ac:dyDescent="0.25">
      <c r="A128" s="25" t="s">
        <v>165</v>
      </c>
      <c r="B128">
        <v>23</v>
      </c>
      <c r="C128">
        <v>3208.695652173913</v>
      </c>
      <c r="D128">
        <v>124.17391304347827</v>
      </c>
      <c r="J128" s="28"/>
      <c r="K128" s="28"/>
    </row>
    <row r="129" spans="1:11" x14ac:dyDescent="0.25">
      <c r="A129" s="25" t="s">
        <v>166</v>
      </c>
      <c r="B129">
        <v>8</v>
      </c>
      <c r="C129">
        <v>4850</v>
      </c>
      <c r="D129">
        <v>115.5</v>
      </c>
      <c r="J129" s="28"/>
      <c r="K129" s="28"/>
    </row>
    <row r="130" spans="1:11" x14ac:dyDescent="0.25">
      <c r="A130" s="24" t="s">
        <v>110</v>
      </c>
      <c r="B130">
        <v>32</v>
      </c>
      <c r="C130">
        <v>3593.75</v>
      </c>
      <c r="D130">
        <v>120.75</v>
      </c>
      <c r="J130" s="28"/>
      <c r="K130" s="28"/>
    </row>
    <row r="131" spans="1:11" x14ac:dyDescent="0.25">
      <c r="J131" s="28"/>
      <c r="K131" s="28"/>
    </row>
    <row r="132" spans="1:11" x14ac:dyDescent="0.25">
      <c r="J132" s="28"/>
      <c r="K132" s="28"/>
    </row>
    <row r="133" spans="1:11" x14ac:dyDescent="0.25">
      <c r="J133" s="28"/>
      <c r="K133" s="28"/>
    </row>
    <row r="134" spans="1:11" x14ac:dyDescent="0.25">
      <c r="J134" s="28"/>
      <c r="K134" s="28"/>
    </row>
    <row r="135" spans="1:11" x14ac:dyDescent="0.25">
      <c r="J135" s="28"/>
      <c r="K135" s="28"/>
    </row>
    <row r="137" spans="1:11" x14ac:dyDescent="0.25">
      <c r="A137" s="23" t="s">
        <v>106</v>
      </c>
      <c r="B137" t="s">
        <v>169</v>
      </c>
    </row>
    <row r="138" spans="1:11" x14ac:dyDescent="0.25">
      <c r="A138" s="24">
        <v>2025</v>
      </c>
      <c r="B138">
        <v>115000</v>
      </c>
    </row>
    <row r="139" spans="1:11" x14ac:dyDescent="0.25">
      <c r="A139" s="25" t="s">
        <v>161</v>
      </c>
      <c r="B139">
        <v>24000</v>
      </c>
    </row>
    <row r="140" spans="1:11" x14ac:dyDescent="0.25">
      <c r="A140" s="25" t="s">
        <v>162</v>
      </c>
      <c r="B140">
        <v>17200</v>
      </c>
    </row>
    <row r="141" spans="1:11" x14ac:dyDescent="0.25">
      <c r="A141" s="25" t="s">
        <v>163</v>
      </c>
      <c r="B141">
        <v>73800</v>
      </c>
    </row>
    <row r="142" spans="1:11" x14ac:dyDescent="0.25">
      <c r="A142" s="24" t="s">
        <v>110</v>
      </c>
      <c r="B142">
        <v>115000</v>
      </c>
    </row>
  </sheetData>
  <mergeCells count="5">
    <mergeCell ref="H1:K11"/>
    <mergeCell ref="H24:L36"/>
    <mergeCell ref="H73:J86"/>
    <mergeCell ref="G100:I113"/>
    <mergeCell ref="J125:K135"/>
  </mergeCells>
  <phoneticPr fontId="2" type="noConversion"/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36D05-34B2-4D83-B07C-D618F3F02554}">
  <dimension ref="A1"/>
  <sheetViews>
    <sheetView zoomScale="87" workbookViewId="0">
      <selection activeCell="Q28" sqref="Q28"/>
    </sheetView>
  </sheetViews>
  <sheetFormatPr defaultRowHeight="13.8" x14ac:dyDescent="0.25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06DE5-4BBD-4358-BFF6-E69854C213D3}">
  <dimension ref="A1:Z33"/>
  <sheetViews>
    <sheetView topLeftCell="I1" zoomScale="78" workbookViewId="0">
      <selection activeCell="Y3" sqref="Y3"/>
    </sheetView>
  </sheetViews>
  <sheetFormatPr defaultRowHeight="13.8" x14ac:dyDescent="0.25"/>
  <cols>
    <col min="1" max="3" width="8.88671875" style="4"/>
    <col min="4" max="4" width="10.109375" style="4" bestFit="1" customWidth="1"/>
    <col min="5" max="6" width="8.88671875" style="4"/>
    <col min="7" max="7" width="11.44140625" style="4" customWidth="1"/>
    <col min="8" max="8" width="8.88671875" style="4"/>
    <col min="9" max="11" width="12.88671875" style="4" customWidth="1"/>
    <col min="12" max="12" width="12.77734375" style="4" customWidth="1"/>
    <col min="13" max="13" width="15.33203125" style="4" customWidth="1"/>
    <col min="14" max="14" width="12.88671875" style="4" customWidth="1"/>
    <col min="15" max="17" width="10.5546875" style="4" customWidth="1"/>
    <col min="18" max="18" width="13.77734375" style="4" customWidth="1"/>
    <col min="19" max="19" width="22.21875" style="4" customWidth="1"/>
    <col min="20" max="20" width="13.77734375" style="4" customWidth="1"/>
    <col min="21" max="21" width="16.5546875" style="4" customWidth="1"/>
    <col min="22" max="22" width="12.21875" style="4" customWidth="1"/>
    <col min="23" max="23" width="11.21875" style="4" customWidth="1"/>
    <col min="24" max="24" width="24.33203125" style="4" customWidth="1"/>
    <col min="25" max="25" width="14.21875" style="4" customWidth="1"/>
    <col min="26" max="26" width="16.109375" style="4" customWidth="1"/>
    <col min="27" max="16384" width="8.88671875" style="4"/>
  </cols>
  <sheetData>
    <row r="1" spans="1:26" ht="28.2" thickBot="1" x14ac:dyDescent="0.3">
      <c r="A1" s="20" t="s">
        <v>170</v>
      </c>
      <c r="B1" s="20" t="s">
        <v>1</v>
      </c>
      <c r="C1" s="20" t="s">
        <v>93</v>
      </c>
      <c r="D1" s="20" t="s">
        <v>94</v>
      </c>
      <c r="E1" s="20" t="s">
        <v>63</v>
      </c>
      <c r="F1" s="20" t="s">
        <v>95</v>
      </c>
      <c r="G1" s="20" t="s">
        <v>171</v>
      </c>
      <c r="H1" s="20" t="s">
        <v>96</v>
      </c>
      <c r="I1" s="20" t="s">
        <v>101</v>
      </c>
      <c r="J1" s="1" t="s">
        <v>48</v>
      </c>
      <c r="K1" s="1" t="s">
        <v>47</v>
      </c>
      <c r="L1" s="20" t="s">
        <v>97</v>
      </c>
      <c r="M1" s="20" t="s">
        <v>98</v>
      </c>
      <c r="N1" s="20" t="s">
        <v>99</v>
      </c>
      <c r="O1" s="20" t="s">
        <v>100</v>
      </c>
      <c r="P1" s="20" t="s">
        <v>144</v>
      </c>
      <c r="Q1" s="20" t="s">
        <v>145</v>
      </c>
      <c r="R1" s="20" t="s">
        <v>124</v>
      </c>
      <c r="S1" s="20" t="s">
        <v>146</v>
      </c>
      <c r="T1" s="20" t="s">
        <v>125</v>
      </c>
      <c r="U1" s="20" t="s">
        <v>147</v>
      </c>
      <c r="V1" s="20" t="s">
        <v>126</v>
      </c>
      <c r="W1" s="20" t="s">
        <v>127</v>
      </c>
      <c r="X1" s="20" t="s">
        <v>128</v>
      </c>
      <c r="Y1" s="20" t="s">
        <v>129</v>
      </c>
      <c r="Z1" s="20" t="s">
        <v>130</v>
      </c>
    </row>
    <row r="2" spans="1:26" x14ac:dyDescent="0.25">
      <c r="A2" s="4">
        <v>1</v>
      </c>
      <c r="B2" s="4" t="str">
        <f>VLOOKUP($A2,学生基本信息!$A:$F,2,0)</f>
        <v>陈宇轩</v>
      </c>
      <c r="C2" s="4" t="str">
        <f>VLOOKUP($A2,学生基本信息!$A:$F,3,0)</f>
        <v>scratch</v>
      </c>
      <c r="D2" s="21">
        <f>VLOOKUP($A2,学生基本信息!$A:$F,4,0)</f>
        <v>45676</v>
      </c>
      <c r="E2" s="4">
        <f>VLOOKUP($A2,学生基本信息!$A:$F,5,0)</f>
        <v>12</v>
      </c>
      <c r="F2" s="4">
        <f>VLOOKUP($A2,学生基本信息!$A:$F,6,0)</f>
        <v>1200</v>
      </c>
      <c r="G2" s="4">
        <f>VLOOKUP($A2,续费情况!$A:$W,13,0)+VLOOKUP($A2,续费情况!$A:$W,17,0)+VLOOKUP($A2,续费情况!$A:$W,21,0)</f>
        <v>3600</v>
      </c>
      <c r="H2" s="4" t="b">
        <f>VLOOKUP($A2,续费情况!$A:$W,11,0)</f>
        <v>1</v>
      </c>
      <c r="I2" s="4" t="str">
        <f>IF(VLOOKUP($A2,学生考级成绩!$A:$E,4,0)=0,"",VLOOKUP($A2,学生考级成绩!$A:$E,4,0))</f>
        <v>二级</v>
      </c>
      <c r="J2" s="4" t="str">
        <f>IF(VLOOKUP($A2,学生考级成绩!$A:$E,5,0)=0,"",VLOOKUP($A2,学生考级成绩!$A:$E,5,0))</f>
        <v/>
      </c>
      <c r="K2" s="4" t="str">
        <f>IF(VLOOKUP($A2,学生考级成绩!$A:$F,6,0)=0,"",VLOOKUP($A2,学生考级成绩!$A:$F,6,0))</f>
        <v/>
      </c>
      <c r="L2" s="4" t="str">
        <f>IF(VLOOKUP($A2,'2025全国青少年信息素养大赛'!$A:$H,5,0)="已报名","已参赛","未参赛")</f>
        <v>未参赛</v>
      </c>
      <c r="M2" s="4" t="str">
        <f>IF(VLOOKUP($A2,全国青少年人工智能创新挑战赛!$A:$H,5,0)="已报名","已参赛","未参赛")</f>
        <v>未参赛</v>
      </c>
      <c r="N2" s="4" t="str">
        <f>IF(AND(OR(I2&lt;&gt;"",J2&lt;&gt;"",K2&lt;&gt;""),OR(L2="已参赛",M2="已参赛")),"重赛考",
 IF(OR(I2&lt;&gt;"",J2&lt;&gt;"",K2&lt;&gt;""),"潜力",
 IF(OR(L2="已参赛",M2="已参赛"),"仅比赛","待推荐")))</f>
        <v>潜力</v>
      </c>
      <c r="O2" s="4">
        <f>F2+G2</f>
        <v>4800</v>
      </c>
      <c r="P2" s="4">
        <f>YEAR(D2)</f>
        <v>2025</v>
      </c>
      <c r="Q2" s="4">
        <f>MONTH(D2)</f>
        <v>1</v>
      </c>
      <c r="R2" s="21">
        <f>VLOOKUP($A2,续费情况!$A:$X,10,0)</f>
        <v>45760</v>
      </c>
      <c r="S2" s="4">
        <f>IFERROR(R2-D2,"")</f>
        <v>84</v>
      </c>
      <c r="T2" s="4">
        <f>COUNTIFS(续费情况!$A:$A,$A2,续费情况!$K:$K,TRUE)+COUNTIFS(续费情况!$A:$A,$A2,续费情况!$O:$O,TRUE)+COUNTIFS(续费情况!$A:$A,$A2,续费情况!$S:$S,TRUE)</f>
        <v>3</v>
      </c>
      <c r="U2" s="4">
        <f>G2</f>
        <v>3600</v>
      </c>
      <c r="V2" s="26" t="str">
        <f t="shared" ref="V2:V33" si="0">IF(OR(I2&lt;&gt;"",J2&lt;&gt;"",K2&lt;&gt;""),"是","否")</f>
        <v>是</v>
      </c>
      <c r="W2" s="4" t="str">
        <f t="shared" ref="W2:W33" si="1">IF(OR(L2="已参赛",M2="已参赛"),"是","否")</f>
        <v>否</v>
      </c>
      <c r="X2" s="4">
        <f t="shared" ref="X2:X33" si="2">F2+G2</f>
        <v>4800</v>
      </c>
      <c r="Y2" s="4" t="str">
        <f>IF(X2&gt;=5000,"高价值",IF(X2&gt;=3000,"中价值","低价值"))</f>
        <v>中价值</v>
      </c>
      <c r="Z2" s="4" t="str">
        <f>IF(G2/F2&gt;=1,"续费率达标","未达标")</f>
        <v>续费率达标</v>
      </c>
    </row>
    <row r="3" spans="1:26" x14ac:dyDescent="0.25">
      <c r="A3" s="4">
        <v>2</v>
      </c>
      <c r="B3" s="4" t="str">
        <f>VLOOKUP($A3,学生基本信息!$A:$F,2,0)</f>
        <v>李浩泽</v>
      </c>
      <c r="C3" s="4" t="str">
        <f>VLOOKUP($A3,学生基本信息!$A:$F,3,0)</f>
        <v>Python</v>
      </c>
      <c r="D3" s="21">
        <f>VLOOKUP($A3,学生基本信息!$A:$F,4,0)</f>
        <v>45682</v>
      </c>
      <c r="E3" s="4">
        <f>VLOOKUP($A3,学生基本信息!$A:$F,5,0)</f>
        <v>24</v>
      </c>
      <c r="F3" s="4">
        <f>VLOOKUP($A3,学生基本信息!$A:$F,6,0)</f>
        <v>2400</v>
      </c>
      <c r="G3" s="4">
        <f>VLOOKUP($A3,续费情况!$A:$W,13,0)+VLOOKUP($A3,续费情况!$A:$W,17,0)+VLOOKUP($A3,续费情况!$A:$W,21,0)</f>
        <v>3600</v>
      </c>
      <c r="H3" s="4" t="b">
        <f>VLOOKUP($A3,续费情况!$A:$W,11,0)</f>
        <v>1</v>
      </c>
      <c r="I3" s="4" t="str">
        <f>IF(VLOOKUP($A3,学生考级成绩!$A:$E,4,0)=0,"",VLOOKUP($A3,学生考级成绩!$A:$E,4,0))</f>
        <v/>
      </c>
      <c r="J3" s="4" t="str">
        <f>IF(VLOOKUP($A3,学生考级成绩!$A:$E,5,0)=0,"",VLOOKUP($A3,学生考级成绩!$A:$E,5,0))</f>
        <v>四级</v>
      </c>
      <c r="K3" s="4" t="str">
        <f>IF(VLOOKUP($A3,学生考级成绩!$A:$F,6,0)=0,"",VLOOKUP($A3,学生考级成绩!$A:$F,6,0))</f>
        <v/>
      </c>
      <c r="L3" s="4" t="str">
        <f>IF(VLOOKUP($A3,'2025全国青少年信息素养大赛'!$A:$H,5,0)="已报名","已参赛","未参赛")</f>
        <v>已参赛</v>
      </c>
      <c r="M3" s="4" t="str">
        <f>IF(VLOOKUP($A3,全国青少年人工智能创新挑战赛!$A:$H,5,0)="已报名","已参赛","未参赛")</f>
        <v>已参赛</v>
      </c>
      <c r="N3" s="4" t="str">
        <f t="shared" ref="N3:N33" si="3">IF(AND(OR(I3&lt;&gt;"",J3&lt;&gt;"",K3&lt;&gt;""),OR(L3="已参赛",M3="已参赛")),"重赛考",
 IF(OR(I3&lt;&gt;"",J3&lt;&gt;"",K3&lt;&gt;""),"潜力",
 IF(OR(L3="已参赛",M3="已参赛"),"仅比赛","待推荐")))</f>
        <v>重赛考</v>
      </c>
      <c r="O3" s="4">
        <f t="shared" ref="O3:O33" si="4">F3+G3</f>
        <v>6000</v>
      </c>
      <c r="P3" s="4">
        <f t="shared" ref="P3:P33" si="5">YEAR(D3)</f>
        <v>2025</v>
      </c>
      <c r="Q3" s="4">
        <f t="shared" ref="Q3:Q33" si="6">MONTH(D3)</f>
        <v>1</v>
      </c>
      <c r="R3" s="21">
        <f>VLOOKUP($A3,续费情况!$A:$X,10,0)</f>
        <v>45850</v>
      </c>
      <c r="S3" s="4">
        <f t="shared" ref="S3:S33" si="7">IFERROR(R3-D3,"")</f>
        <v>168</v>
      </c>
      <c r="T3" s="4">
        <f>COUNTIFS(续费情况!$A:$A,$A3,续费情况!$K:$K,TRUE)+COUNTIFS(续费情况!$A:$A,$A3,续费情况!$O:$O,TRUE)+COUNTIFS(续费情况!$A:$A,$A3,续费情况!$S:$S,TRUE)</f>
        <v>3</v>
      </c>
      <c r="U3" s="4">
        <f t="shared" ref="U3:U33" si="8">G3</f>
        <v>3600</v>
      </c>
      <c r="V3" s="26" t="str">
        <f t="shared" si="0"/>
        <v>是</v>
      </c>
      <c r="W3" s="4" t="str">
        <f t="shared" si="1"/>
        <v>是</v>
      </c>
      <c r="X3" s="4">
        <f t="shared" si="2"/>
        <v>6000</v>
      </c>
      <c r="Y3" s="4" t="str">
        <f t="shared" ref="Y3:Y33" si="9">IF(X3&gt;=5000,"高价值",IF(X3&gt;=3000,"中价值","低价值"))</f>
        <v>高价值</v>
      </c>
      <c r="Z3" s="4" t="str">
        <f t="shared" ref="Z3:Z33" si="10">IF(G3/F3&gt;=1,"续费率达标","未达标")</f>
        <v>续费率达标</v>
      </c>
    </row>
    <row r="4" spans="1:26" x14ac:dyDescent="0.25">
      <c r="A4" s="4">
        <v>3</v>
      </c>
      <c r="B4" s="4" t="str">
        <f>VLOOKUP($A4,学生基本信息!$A:$F,2,0)</f>
        <v>王梓航</v>
      </c>
      <c r="C4" s="4" t="str">
        <f>VLOOKUP($A4,学生基本信息!$A:$F,3,0)</f>
        <v>scratch</v>
      </c>
      <c r="D4" s="21">
        <f>VLOOKUP($A4,学生基本信息!$A:$F,4,0)</f>
        <v>45682</v>
      </c>
      <c r="E4" s="4">
        <f>VLOOKUP($A4,学生基本信息!$A:$F,5,0)</f>
        <v>12</v>
      </c>
      <c r="F4" s="4">
        <f>VLOOKUP($A4,学生基本信息!$A:$F,6,0)</f>
        <v>1200</v>
      </c>
      <c r="G4" s="4">
        <f>VLOOKUP($A4,续费情况!$A:$W,13,0)+VLOOKUP($A4,续费情况!$A:$W,17,0)+VLOOKUP($A4,续费情况!$A:$W,21,0)</f>
        <v>3600</v>
      </c>
      <c r="H4" s="4" t="b">
        <f>VLOOKUP($A4,续费情况!$A:$W,11,0)</f>
        <v>1</v>
      </c>
      <c r="I4" s="4" t="str">
        <f>IF(VLOOKUP($A4,学生考级成绩!$A:$E,4,0)=0,"",VLOOKUP($A4,学生考级成绩!$A:$E,4,0))</f>
        <v>二级</v>
      </c>
      <c r="J4" s="4" t="str">
        <f>IF(VLOOKUP($A4,学生考级成绩!$A:$E,5,0)=0,"",VLOOKUP($A4,学生考级成绩!$A:$E,5,0))</f>
        <v/>
      </c>
      <c r="K4" s="4" t="str">
        <f>IF(VLOOKUP($A4,学生考级成绩!$A:$F,6,0)=0,"",VLOOKUP($A4,学生考级成绩!$A:$F,6,0))</f>
        <v/>
      </c>
      <c r="L4" s="4" t="str">
        <f>IF(VLOOKUP($A4,'2025全国青少年信息素养大赛'!$A:$H,5,0)="已报名","已参赛","未参赛")</f>
        <v>已参赛</v>
      </c>
      <c r="M4" s="4" t="str">
        <f>IF(VLOOKUP($A4,全国青少年人工智能创新挑战赛!$A:$H,5,0)="已报名","已参赛","未参赛")</f>
        <v>已参赛</v>
      </c>
      <c r="N4" s="4" t="str">
        <f t="shared" si="3"/>
        <v>重赛考</v>
      </c>
      <c r="O4" s="4">
        <f t="shared" si="4"/>
        <v>4800</v>
      </c>
      <c r="P4" s="4">
        <f t="shared" si="5"/>
        <v>2025</v>
      </c>
      <c r="Q4" s="4">
        <f t="shared" si="6"/>
        <v>1</v>
      </c>
      <c r="R4" s="21">
        <f>VLOOKUP($A4,续费情况!$A:$X,10,0)</f>
        <v>45766</v>
      </c>
      <c r="S4" s="4">
        <f t="shared" si="7"/>
        <v>84</v>
      </c>
      <c r="T4" s="4">
        <f>COUNTIFS(续费情况!$A:$A,$A4,续费情况!$K:$K,TRUE)+COUNTIFS(续费情况!$A:$A,$A4,续费情况!$O:$O,TRUE)+COUNTIFS(续费情况!$A:$A,$A4,续费情况!$S:$S,TRUE)</f>
        <v>3</v>
      </c>
      <c r="U4" s="4">
        <f t="shared" si="8"/>
        <v>3600</v>
      </c>
      <c r="V4" s="26" t="str">
        <f t="shared" si="0"/>
        <v>是</v>
      </c>
      <c r="W4" s="4" t="str">
        <f t="shared" si="1"/>
        <v>是</v>
      </c>
      <c r="X4" s="4">
        <f t="shared" si="2"/>
        <v>4800</v>
      </c>
      <c r="Y4" s="4" t="str">
        <f t="shared" si="9"/>
        <v>中价值</v>
      </c>
      <c r="Z4" s="4" t="str">
        <f t="shared" si="10"/>
        <v>续费率达标</v>
      </c>
    </row>
    <row r="5" spans="1:26" x14ac:dyDescent="0.25">
      <c r="A5" s="4">
        <v>4</v>
      </c>
      <c r="B5" s="4" t="str">
        <f>VLOOKUP($A5,学生基本信息!$A:$F,2,0)</f>
        <v>张锦程</v>
      </c>
      <c r="C5" s="4" t="str">
        <f>VLOOKUP($A5,学生基本信息!$A:$F,3,0)</f>
        <v>scratch</v>
      </c>
      <c r="D5" s="21">
        <f>VLOOKUP($A5,学生基本信息!$A:$F,4,0)</f>
        <v>45691</v>
      </c>
      <c r="E5" s="4">
        <f>VLOOKUP($A5,学生基本信息!$A:$F,5,0)</f>
        <v>24</v>
      </c>
      <c r="F5" s="4">
        <f>VLOOKUP($A5,学生基本信息!$A:$F,6,0)</f>
        <v>2000</v>
      </c>
      <c r="G5" s="4">
        <f>VLOOKUP($A5,续费情况!$A:$W,13,0)+VLOOKUP($A5,续费情况!$A:$W,17,0)+VLOOKUP($A5,续费情况!$A:$W,21,0)</f>
        <v>3600</v>
      </c>
      <c r="H5" s="4" t="b">
        <f>VLOOKUP($A5,续费情况!$A:$W,11,0)</f>
        <v>1</v>
      </c>
      <c r="I5" s="4" t="str">
        <f>IF(VLOOKUP($A5,学生考级成绩!$A:$E,4,0)=0,"",VLOOKUP($A5,学生考级成绩!$A:$E,4,0))</f>
        <v>二级</v>
      </c>
      <c r="J5" s="4" t="str">
        <f>IF(VLOOKUP($A5,学生考级成绩!$A:$E,5,0)=0,"",VLOOKUP($A5,学生考级成绩!$A:$E,5,0))</f>
        <v/>
      </c>
      <c r="K5" s="4" t="str">
        <f>IF(VLOOKUP($A5,学生考级成绩!$A:$F,6,0)=0,"",VLOOKUP($A5,学生考级成绩!$A:$F,6,0))</f>
        <v/>
      </c>
      <c r="L5" s="4" t="str">
        <f>IF(VLOOKUP($A5,'2025全国青少年信息素养大赛'!$A:$H,5,0)="已报名","已参赛","未参赛")</f>
        <v>已参赛</v>
      </c>
      <c r="M5" s="4" t="str">
        <f>IF(VLOOKUP($A5,全国青少年人工智能创新挑战赛!$A:$H,5,0)="已报名","已参赛","未参赛")</f>
        <v>已参赛</v>
      </c>
      <c r="N5" s="4" t="str">
        <f t="shared" si="3"/>
        <v>重赛考</v>
      </c>
      <c r="O5" s="4">
        <f t="shared" si="4"/>
        <v>5600</v>
      </c>
      <c r="P5" s="4">
        <f t="shared" si="5"/>
        <v>2025</v>
      </c>
      <c r="Q5" s="4">
        <f t="shared" si="6"/>
        <v>2</v>
      </c>
      <c r="R5" s="21">
        <f>VLOOKUP($A5,续费情况!$A:$X,10,0)</f>
        <v>45859</v>
      </c>
      <c r="S5" s="4">
        <f t="shared" si="7"/>
        <v>168</v>
      </c>
      <c r="T5" s="4">
        <f>COUNTIFS(续费情况!$A:$A,$A5,续费情况!$K:$K,TRUE)+COUNTIFS(续费情况!$A:$A,$A5,续费情况!$O:$O,TRUE)+COUNTIFS(续费情况!$A:$A,$A5,续费情况!$S:$S,TRUE)</f>
        <v>3</v>
      </c>
      <c r="U5" s="4">
        <f t="shared" si="8"/>
        <v>3600</v>
      </c>
      <c r="V5" s="26" t="str">
        <f t="shared" si="0"/>
        <v>是</v>
      </c>
      <c r="W5" s="4" t="str">
        <f t="shared" si="1"/>
        <v>是</v>
      </c>
      <c r="X5" s="4">
        <f t="shared" si="2"/>
        <v>5600</v>
      </c>
      <c r="Y5" s="4" t="str">
        <f t="shared" si="9"/>
        <v>高价值</v>
      </c>
      <c r="Z5" s="4" t="str">
        <f t="shared" si="10"/>
        <v>续费率达标</v>
      </c>
    </row>
    <row r="6" spans="1:26" x14ac:dyDescent="0.25">
      <c r="A6" s="4">
        <v>5</v>
      </c>
      <c r="B6" s="4" t="str">
        <f>VLOOKUP($A6,学生基本信息!$A:$F,2,0)</f>
        <v>张俊豪</v>
      </c>
      <c r="C6" s="4" t="str">
        <f>VLOOKUP($A6,学生基本信息!$A:$F,3,0)</f>
        <v>c++</v>
      </c>
      <c r="D6" s="21">
        <f>VLOOKUP($A6,学生基本信息!$A:$F,4,0)</f>
        <v>45691</v>
      </c>
      <c r="E6" s="4">
        <f>VLOOKUP($A6,学生基本信息!$A:$F,5,0)</f>
        <v>24</v>
      </c>
      <c r="F6" s="4">
        <f>VLOOKUP($A6,学生基本信息!$A:$F,6,0)</f>
        <v>2000</v>
      </c>
      <c r="G6" s="4">
        <f>VLOOKUP($A6,续费情况!$A:$W,13,0)+VLOOKUP($A6,续费情况!$A:$W,17,0)+VLOOKUP($A6,续费情况!$A:$W,21,0)</f>
        <v>3600</v>
      </c>
      <c r="H6" s="4" t="b">
        <f>VLOOKUP($A6,续费情况!$A:$W,11,0)</f>
        <v>1</v>
      </c>
      <c r="I6" s="4" t="str">
        <f>IF(VLOOKUP($A6,学生考级成绩!$A:$E,4,0)=0,"",VLOOKUP($A6,学生考级成绩!$A:$E,4,0))</f>
        <v/>
      </c>
      <c r="J6" s="4" t="str">
        <f>IF(VLOOKUP($A6,学生考级成绩!$A:$E,5,0)=0,"",VLOOKUP($A6,学生考级成绩!$A:$E,5,0))</f>
        <v/>
      </c>
      <c r="K6" s="4" t="str">
        <f>IF(VLOOKUP($A6,学生考级成绩!$A:$F,6,0)=0,"",VLOOKUP($A6,学生考级成绩!$A:$F,6,0))</f>
        <v>三级</v>
      </c>
      <c r="L6" s="4" t="str">
        <f>IF(VLOOKUP($A6,'2025全国青少年信息素养大赛'!$A:$H,5,0)="已报名","已参赛","未参赛")</f>
        <v>已参赛</v>
      </c>
      <c r="M6" s="4" t="str">
        <f>IF(VLOOKUP($A6,全国青少年人工智能创新挑战赛!$A:$H,5,0)="已报名","已参赛","未参赛")</f>
        <v>已参赛</v>
      </c>
      <c r="N6" s="4" t="str">
        <f t="shared" si="3"/>
        <v>重赛考</v>
      </c>
      <c r="O6" s="4">
        <f t="shared" si="4"/>
        <v>5600</v>
      </c>
      <c r="P6" s="4">
        <f t="shared" si="5"/>
        <v>2025</v>
      </c>
      <c r="Q6" s="4">
        <f t="shared" si="6"/>
        <v>2</v>
      </c>
      <c r="R6" s="21">
        <f>VLOOKUP($A6,续费情况!$A:$X,10,0)</f>
        <v>45859</v>
      </c>
      <c r="S6" s="4">
        <f t="shared" si="7"/>
        <v>168</v>
      </c>
      <c r="T6" s="4">
        <f>COUNTIFS(续费情况!$A:$A,$A6,续费情况!$K:$K,TRUE)+COUNTIFS(续费情况!$A:$A,$A6,续费情况!$O:$O,TRUE)+COUNTIFS(续费情况!$A:$A,$A6,续费情况!$S:$S,TRUE)</f>
        <v>3</v>
      </c>
      <c r="U6" s="4">
        <f t="shared" si="8"/>
        <v>3600</v>
      </c>
      <c r="V6" s="26" t="str">
        <f t="shared" si="0"/>
        <v>是</v>
      </c>
      <c r="W6" s="4" t="str">
        <f t="shared" si="1"/>
        <v>是</v>
      </c>
      <c r="X6" s="4">
        <f t="shared" si="2"/>
        <v>5600</v>
      </c>
      <c r="Y6" s="4" t="str">
        <f t="shared" si="9"/>
        <v>高价值</v>
      </c>
      <c r="Z6" s="4" t="str">
        <f t="shared" si="10"/>
        <v>续费率达标</v>
      </c>
    </row>
    <row r="7" spans="1:26" x14ac:dyDescent="0.25">
      <c r="A7" s="4">
        <v>6</v>
      </c>
      <c r="B7" s="4" t="str">
        <f>VLOOKUP($A7,学生基本信息!$A:$F,2,0)</f>
        <v>李若溪</v>
      </c>
      <c r="C7" s="4" t="str">
        <f>VLOOKUP($A7,学生基本信息!$A:$F,3,0)</f>
        <v>scratch</v>
      </c>
      <c r="D7" s="21">
        <f>VLOOKUP($A7,学生基本信息!$A:$F,4,0)</f>
        <v>45703</v>
      </c>
      <c r="E7" s="4">
        <f>VLOOKUP($A7,学生基本信息!$A:$F,5,0)</f>
        <v>12</v>
      </c>
      <c r="F7" s="4">
        <f>VLOOKUP($A7,学生基本信息!$A:$F,6,0)</f>
        <v>1200</v>
      </c>
      <c r="G7" s="4">
        <f>VLOOKUP($A7,续费情况!$A:$W,13,0)+VLOOKUP($A7,续费情况!$A:$W,17,0)+VLOOKUP($A7,续费情况!$A:$W,21,0)</f>
        <v>3600</v>
      </c>
      <c r="H7" s="4" t="b">
        <f>VLOOKUP($A7,续费情况!$A:$W,11,0)</f>
        <v>1</v>
      </c>
      <c r="I7" s="4" t="str">
        <f>IF(VLOOKUP($A7,学生考级成绩!$A:$E,4,0)=0,"",VLOOKUP($A7,学生考级成绩!$A:$E,4,0))</f>
        <v>二级</v>
      </c>
      <c r="J7" s="4" t="str">
        <f>IF(VLOOKUP($A7,学生考级成绩!$A:$E,5,0)=0,"",VLOOKUP($A7,学生考级成绩!$A:$E,5,0))</f>
        <v/>
      </c>
      <c r="K7" s="4" t="str">
        <f>IF(VLOOKUP($A7,学生考级成绩!$A:$F,6,0)=0,"",VLOOKUP($A7,学生考级成绩!$A:$F,6,0))</f>
        <v/>
      </c>
      <c r="L7" s="4" t="str">
        <f>IF(VLOOKUP($A7,'2025全国青少年信息素养大赛'!$A:$H,5,0)="已报名","已参赛","未参赛")</f>
        <v>未参赛</v>
      </c>
      <c r="M7" s="4" t="str">
        <f>IF(VLOOKUP($A7,全国青少年人工智能创新挑战赛!$A:$H,5,0)="已报名","已参赛","未参赛")</f>
        <v>未参赛</v>
      </c>
      <c r="N7" s="4" t="str">
        <f t="shared" si="3"/>
        <v>潜力</v>
      </c>
      <c r="O7" s="4">
        <f t="shared" si="4"/>
        <v>4800</v>
      </c>
      <c r="P7" s="4">
        <f t="shared" si="5"/>
        <v>2025</v>
      </c>
      <c r="Q7" s="4">
        <f t="shared" si="6"/>
        <v>2</v>
      </c>
      <c r="R7" s="21">
        <f>VLOOKUP($A7,续费情况!$A:$X,10,0)</f>
        <v>45787</v>
      </c>
      <c r="S7" s="4">
        <f t="shared" si="7"/>
        <v>84</v>
      </c>
      <c r="T7" s="4">
        <f>COUNTIFS(续费情况!$A:$A,$A7,续费情况!$K:$K,TRUE)+COUNTIFS(续费情况!$A:$A,$A7,续费情况!$O:$O,TRUE)+COUNTIFS(续费情况!$A:$A,$A7,续费情况!$S:$S,TRUE)</f>
        <v>3</v>
      </c>
      <c r="U7" s="4">
        <f t="shared" si="8"/>
        <v>3600</v>
      </c>
      <c r="V7" s="26" t="str">
        <f t="shared" si="0"/>
        <v>是</v>
      </c>
      <c r="W7" s="4" t="str">
        <f t="shared" si="1"/>
        <v>否</v>
      </c>
      <c r="X7" s="4">
        <f t="shared" si="2"/>
        <v>4800</v>
      </c>
      <c r="Y7" s="4" t="str">
        <f t="shared" si="9"/>
        <v>中价值</v>
      </c>
      <c r="Z7" s="4" t="str">
        <f t="shared" si="10"/>
        <v>续费率达标</v>
      </c>
    </row>
    <row r="8" spans="1:26" x14ac:dyDescent="0.25">
      <c r="A8" s="4">
        <v>7</v>
      </c>
      <c r="B8" s="4" t="str">
        <f>VLOOKUP($A8,学生基本信息!$A:$F,2,0)</f>
        <v>周思远</v>
      </c>
      <c r="C8" s="4" t="str">
        <f>VLOOKUP($A8,学生基本信息!$A:$F,3,0)</f>
        <v>scratch</v>
      </c>
      <c r="D8" s="21">
        <f>VLOOKUP($A8,学生基本信息!$A:$F,4,0)</f>
        <v>45725</v>
      </c>
      <c r="E8" s="4">
        <f>VLOOKUP($A8,学生基本信息!$A:$F,5,0)</f>
        <v>12</v>
      </c>
      <c r="F8" s="4">
        <f>VLOOKUP($A8,学生基本信息!$A:$F,6,0)</f>
        <v>1200</v>
      </c>
      <c r="G8" s="4">
        <f>VLOOKUP($A8,续费情况!$A:$W,13,0)+VLOOKUP($A8,续费情况!$A:$W,17,0)+VLOOKUP($A8,续费情况!$A:$W,21,0)</f>
        <v>3600</v>
      </c>
      <c r="H8" s="4" t="b">
        <f>VLOOKUP($A8,续费情况!$A:$W,11,0)</f>
        <v>1</v>
      </c>
      <c r="I8" s="4" t="str">
        <f>IF(VLOOKUP($A8,学生考级成绩!$A:$E,4,0)=0,"",VLOOKUP($A8,学生考级成绩!$A:$E,4,0))</f>
        <v>二级</v>
      </c>
      <c r="J8" s="4" t="str">
        <f>IF(VLOOKUP($A8,学生考级成绩!$A:$E,5,0)=0,"",VLOOKUP($A8,学生考级成绩!$A:$E,5,0))</f>
        <v/>
      </c>
      <c r="K8" s="4" t="str">
        <f>IF(VLOOKUP($A8,学生考级成绩!$A:$F,6,0)=0,"",VLOOKUP($A8,学生考级成绩!$A:$F,6,0))</f>
        <v/>
      </c>
      <c r="L8" s="4" t="str">
        <f>IF(VLOOKUP($A8,'2025全国青少年信息素养大赛'!$A:$H,5,0)="已报名","已参赛","未参赛")</f>
        <v>未参赛</v>
      </c>
      <c r="M8" s="4" t="str">
        <f>IF(VLOOKUP($A8,全国青少年人工智能创新挑战赛!$A:$H,5,0)="已报名","已参赛","未参赛")</f>
        <v>未参赛</v>
      </c>
      <c r="N8" s="4" t="str">
        <f t="shared" si="3"/>
        <v>潜力</v>
      </c>
      <c r="O8" s="4">
        <f t="shared" si="4"/>
        <v>4800</v>
      </c>
      <c r="P8" s="4">
        <f t="shared" si="5"/>
        <v>2025</v>
      </c>
      <c r="Q8" s="4">
        <f t="shared" si="6"/>
        <v>3</v>
      </c>
      <c r="R8" s="21">
        <f>VLOOKUP($A8,续费情况!$A:$X,10,0)</f>
        <v>45809</v>
      </c>
      <c r="S8" s="4">
        <f t="shared" si="7"/>
        <v>84</v>
      </c>
      <c r="T8" s="4">
        <f>COUNTIFS(续费情况!$A:$A,$A8,续费情况!$K:$K,TRUE)+COUNTIFS(续费情况!$A:$A,$A8,续费情况!$O:$O,TRUE)+COUNTIFS(续费情况!$A:$A,$A8,续费情况!$S:$S,TRUE)</f>
        <v>3</v>
      </c>
      <c r="U8" s="4">
        <f t="shared" si="8"/>
        <v>3600</v>
      </c>
      <c r="V8" s="26" t="str">
        <f t="shared" si="0"/>
        <v>是</v>
      </c>
      <c r="W8" s="4" t="str">
        <f t="shared" si="1"/>
        <v>否</v>
      </c>
      <c r="X8" s="4">
        <f t="shared" si="2"/>
        <v>4800</v>
      </c>
      <c r="Y8" s="4" t="str">
        <f t="shared" si="9"/>
        <v>中价值</v>
      </c>
      <c r="Z8" s="4" t="str">
        <f t="shared" si="10"/>
        <v>续费率达标</v>
      </c>
    </row>
    <row r="9" spans="1:26" x14ac:dyDescent="0.25">
      <c r="A9" s="4">
        <v>8</v>
      </c>
      <c r="B9" s="4" t="str">
        <f>VLOOKUP($A9,学生基本信息!$A:$F,2,0)</f>
        <v>吴嘉硕</v>
      </c>
      <c r="C9" s="4" t="str">
        <f>VLOOKUP($A9,学生基本信息!$A:$F,3,0)</f>
        <v>scratch</v>
      </c>
      <c r="D9" s="21">
        <f>VLOOKUP($A9,学生基本信息!$A:$F,4,0)</f>
        <v>45730</v>
      </c>
      <c r="E9" s="4">
        <f>VLOOKUP($A9,学生基本信息!$A:$F,5,0)</f>
        <v>12</v>
      </c>
      <c r="F9" s="4">
        <f>VLOOKUP($A9,学生基本信息!$A:$F,6,0)</f>
        <v>1200</v>
      </c>
      <c r="G9" s="4">
        <f>VLOOKUP($A9,续费情况!$A:$W,13,0)+VLOOKUP($A9,续费情况!$A:$W,17,0)+VLOOKUP($A9,续费情况!$A:$W,21,0)</f>
        <v>3600</v>
      </c>
      <c r="H9" s="4" t="b">
        <f>VLOOKUP($A9,续费情况!$A:$W,11,0)</f>
        <v>1</v>
      </c>
      <c r="I9" s="4" t="str">
        <f>IF(VLOOKUP($A9,学生考级成绩!$A:$E,4,0)=0,"",VLOOKUP($A9,学生考级成绩!$A:$E,4,0))</f>
        <v>二级</v>
      </c>
      <c r="J9" s="4" t="str">
        <f>IF(VLOOKUP($A9,学生考级成绩!$A:$E,5,0)=0,"",VLOOKUP($A9,学生考级成绩!$A:$E,5,0))</f>
        <v/>
      </c>
      <c r="K9" s="4" t="str">
        <f>IF(VLOOKUP($A9,学生考级成绩!$A:$F,6,0)=0,"",VLOOKUP($A9,学生考级成绩!$A:$F,6,0))</f>
        <v/>
      </c>
      <c r="L9" s="4" t="str">
        <f>IF(VLOOKUP($A9,'2025全国青少年信息素养大赛'!$A:$H,5,0)="已报名","已参赛","未参赛")</f>
        <v>已参赛</v>
      </c>
      <c r="M9" s="4" t="str">
        <f>IF(VLOOKUP($A9,全国青少年人工智能创新挑战赛!$A:$H,5,0)="已报名","已参赛","未参赛")</f>
        <v>未参赛</v>
      </c>
      <c r="N9" s="4" t="str">
        <f t="shared" si="3"/>
        <v>重赛考</v>
      </c>
      <c r="O9" s="4">
        <f t="shared" si="4"/>
        <v>4800</v>
      </c>
      <c r="P9" s="4">
        <f t="shared" si="5"/>
        <v>2025</v>
      </c>
      <c r="Q9" s="4">
        <f t="shared" si="6"/>
        <v>3</v>
      </c>
      <c r="R9" s="21">
        <f>VLOOKUP($A9,续费情况!$A:$X,10,0)</f>
        <v>45814</v>
      </c>
      <c r="S9" s="4">
        <f t="shared" si="7"/>
        <v>84</v>
      </c>
      <c r="T9" s="4">
        <f>COUNTIFS(续费情况!$A:$A,$A9,续费情况!$K:$K,TRUE)+COUNTIFS(续费情况!$A:$A,$A9,续费情况!$O:$O,TRUE)+COUNTIFS(续费情况!$A:$A,$A9,续费情况!$S:$S,TRUE)</f>
        <v>3</v>
      </c>
      <c r="U9" s="4">
        <f t="shared" si="8"/>
        <v>3600</v>
      </c>
      <c r="V9" s="26" t="str">
        <f t="shared" si="0"/>
        <v>是</v>
      </c>
      <c r="W9" s="4" t="str">
        <f t="shared" si="1"/>
        <v>是</v>
      </c>
      <c r="X9" s="4">
        <f t="shared" si="2"/>
        <v>4800</v>
      </c>
      <c r="Y9" s="4" t="str">
        <f t="shared" si="9"/>
        <v>中价值</v>
      </c>
      <c r="Z9" s="4" t="str">
        <f t="shared" si="10"/>
        <v>续费率达标</v>
      </c>
    </row>
    <row r="10" spans="1:26" x14ac:dyDescent="0.25">
      <c r="A10" s="4">
        <v>9</v>
      </c>
      <c r="B10" s="4" t="str">
        <f>VLOOKUP($A10,学生基本信息!$A:$F,2,0)</f>
        <v>郑博文</v>
      </c>
      <c r="C10" s="4" t="str">
        <f>VLOOKUP($A10,学生基本信息!$A:$F,3,0)</f>
        <v>scratch</v>
      </c>
      <c r="D10" s="21">
        <f>VLOOKUP($A10,学生基本信息!$A:$F,4,0)</f>
        <v>45739</v>
      </c>
      <c r="E10" s="4">
        <f>VLOOKUP($A10,学生基本信息!$A:$F,5,0)</f>
        <v>12</v>
      </c>
      <c r="F10" s="4">
        <f>VLOOKUP($A10,学生基本信息!$A:$F,6,0)</f>
        <v>1200</v>
      </c>
      <c r="G10" s="4">
        <f>VLOOKUP($A10,续费情况!$A:$W,13,0)+VLOOKUP($A10,续费情况!$A:$W,17,0)+VLOOKUP($A10,续费情况!$A:$W,21,0)</f>
        <v>3600</v>
      </c>
      <c r="H10" s="4" t="b">
        <f>VLOOKUP($A10,续费情况!$A:$W,11,0)</f>
        <v>1</v>
      </c>
      <c r="I10" s="4" t="str">
        <f>IF(VLOOKUP($A10,学生考级成绩!$A:$E,4,0)=0,"",VLOOKUP($A10,学生考级成绩!$A:$E,4,0))</f>
        <v>一级</v>
      </c>
      <c r="J10" s="4" t="str">
        <f>IF(VLOOKUP($A10,学生考级成绩!$A:$E,5,0)=0,"",VLOOKUP($A10,学生考级成绩!$A:$E,5,0))</f>
        <v/>
      </c>
      <c r="K10" s="4" t="str">
        <f>IF(VLOOKUP($A10,学生考级成绩!$A:$F,6,0)=0,"",VLOOKUP($A10,学生考级成绩!$A:$F,6,0))</f>
        <v/>
      </c>
      <c r="L10" s="4" t="str">
        <f>IF(VLOOKUP($A10,'2025全国青少年信息素养大赛'!$A:$H,5,0)="已报名","已参赛","未参赛")</f>
        <v>已参赛</v>
      </c>
      <c r="M10" s="4" t="str">
        <f>IF(VLOOKUP($A10,全国青少年人工智能创新挑战赛!$A:$H,5,0)="已报名","已参赛","未参赛")</f>
        <v>未参赛</v>
      </c>
      <c r="N10" s="4" t="str">
        <f t="shared" si="3"/>
        <v>重赛考</v>
      </c>
      <c r="O10" s="4">
        <f t="shared" si="4"/>
        <v>4800</v>
      </c>
      <c r="P10" s="4">
        <f t="shared" si="5"/>
        <v>2025</v>
      </c>
      <c r="Q10" s="4">
        <f t="shared" si="6"/>
        <v>3</v>
      </c>
      <c r="R10" s="21">
        <f>VLOOKUP($A10,续费情况!$A:$X,10,0)</f>
        <v>45823</v>
      </c>
      <c r="S10" s="4">
        <f t="shared" si="7"/>
        <v>84</v>
      </c>
      <c r="T10" s="4">
        <f>COUNTIFS(续费情况!$A:$A,$A10,续费情况!$K:$K,TRUE)+COUNTIFS(续费情况!$A:$A,$A10,续费情况!$O:$O,TRUE)+COUNTIFS(续费情况!$A:$A,$A10,续费情况!$S:$S,TRUE)</f>
        <v>3</v>
      </c>
      <c r="U10" s="4">
        <f t="shared" si="8"/>
        <v>3600</v>
      </c>
      <c r="V10" s="26" t="str">
        <f t="shared" si="0"/>
        <v>是</v>
      </c>
      <c r="W10" s="4" t="str">
        <f t="shared" si="1"/>
        <v>是</v>
      </c>
      <c r="X10" s="4">
        <f t="shared" si="2"/>
        <v>4800</v>
      </c>
      <c r="Y10" s="4" t="str">
        <f t="shared" si="9"/>
        <v>中价值</v>
      </c>
      <c r="Z10" s="4" t="str">
        <f t="shared" si="10"/>
        <v>续费率达标</v>
      </c>
    </row>
    <row r="11" spans="1:26" x14ac:dyDescent="0.25">
      <c r="A11" s="4">
        <v>10</v>
      </c>
      <c r="B11" s="4" t="str">
        <f>VLOOKUP($A11,学生基本信息!$A:$F,2,0)</f>
        <v>骆思玥</v>
      </c>
      <c r="C11" s="4" t="str">
        <f>VLOOKUP($A11,学生基本信息!$A:$F,3,0)</f>
        <v>scratch</v>
      </c>
      <c r="D11" s="21">
        <f>VLOOKUP($A11,学生基本信息!$A:$F,4,0)</f>
        <v>45753</v>
      </c>
      <c r="E11" s="4">
        <f>VLOOKUP($A11,学生基本信息!$A:$F,5,0)</f>
        <v>12</v>
      </c>
      <c r="F11" s="4">
        <f>VLOOKUP($A11,学生基本信息!$A:$F,6,0)</f>
        <v>1200</v>
      </c>
      <c r="G11" s="4">
        <f>VLOOKUP($A11,续费情况!$A:$W,13,0)+VLOOKUP($A11,续费情况!$A:$W,17,0)+VLOOKUP($A11,续费情况!$A:$W,21,0)</f>
        <v>3600</v>
      </c>
      <c r="H11" s="4" t="b">
        <f>VLOOKUP($A11,续费情况!$A:$W,11,0)</f>
        <v>1</v>
      </c>
      <c r="I11" s="4" t="str">
        <f>IF(VLOOKUP($A11,学生考级成绩!$A:$E,4,0)=0,"",VLOOKUP($A11,学生考级成绩!$A:$E,4,0))</f>
        <v>二级</v>
      </c>
      <c r="J11" s="4" t="str">
        <f>IF(VLOOKUP($A11,学生考级成绩!$A:$E,5,0)=0,"",VLOOKUP($A11,学生考级成绩!$A:$E,5,0))</f>
        <v/>
      </c>
      <c r="K11" s="4" t="str">
        <f>IF(VLOOKUP($A11,学生考级成绩!$A:$F,6,0)=0,"",VLOOKUP($A11,学生考级成绩!$A:$F,6,0))</f>
        <v/>
      </c>
      <c r="L11" s="4" t="str">
        <f>IF(VLOOKUP($A11,'2025全国青少年信息素养大赛'!$A:$H,5,0)="已报名","已参赛","未参赛")</f>
        <v>未参赛</v>
      </c>
      <c r="M11" s="4" t="str">
        <f>IF(VLOOKUP($A11,全国青少年人工智能创新挑战赛!$A:$H,5,0)="已报名","已参赛","未参赛")</f>
        <v>未参赛</v>
      </c>
      <c r="N11" s="4" t="str">
        <f t="shared" si="3"/>
        <v>潜力</v>
      </c>
      <c r="O11" s="4">
        <f t="shared" si="4"/>
        <v>4800</v>
      </c>
      <c r="P11" s="4">
        <f t="shared" si="5"/>
        <v>2025</v>
      </c>
      <c r="Q11" s="4">
        <f t="shared" si="6"/>
        <v>4</v>
      </c>
      <c r="R11" s="21">
        <f>VLOOKUP($A11,续费情况!$A:$X,10,0)</f>
        <v>45837</v>
      </c>
      <c r="S11" s="4">
        <f t="shared" si="7"/>
        <v>84</v>
      </c>
      <c r="T11" s="4">
        <f>COUNTIFS(续费情况!$A:$A,$A11,续费情况!$K:$K,TRUE)+COUNTIFS(续费情况!$A:$A,$A11,续费情况!$O:$O,TRUE)+COUNTIFS(续费情况!$A:$A,$A11,续费情况!$S:$S,TRUE)</f>
        <v>3</v>
      </c>
      <c r="U11" s="4">
        <f t="shared" si="8"/>
        <v>3600</v>
      </c>
      <c r="V11" s="26" t="str">
        <f t="shared" si="0"/>
        <v>是</v>
      </c>
      <c r="W11" s="4" t="str">
        <f t="shared" si="1"/>
        <v>否</v>
      </c>
      <c r="X11" s="4">
        <f t="shared" si="2"/>
        <v>4800</v>
      </c>
      <c r="Y11" s="4" t="str">
        <f t="shared" si="9"/>
        <v>中价值</v>
      </c>
      <c r="Z11" s="4" t="str">
        <f t="shared" si="10"/>
        <v>续费率达标</v>
      </c>
    </row>
    <row r="12" spans="1:26" x14ac:dyDescent="0.25">
      <c r="A12" s="4">
        <v>11</v>
      </c>
      <c r="B12" s="4" t="str">
        <f>VLOOKUP($A12,学生基本信息!$A:$F,2,0)</f>
        <v>黄奕凡</v>
      </c>
      <c r="C12" s="4" t="str">
        <f>VLOOKUP($A12,学生基本信息!$A:$F,3,0)</f>
        <v>scratch</v>
      </c>
      <c r="D12" s="21">
        <f>VLOOKUP($A12,学生基本信息!$A:$F,4,0)</f>
        <v>45801</v>
      </c>
      <c r="E12" s="4">
        <f>VLOOKUP($A12,学生基本信息!$A:$F,5,0)</f>
        <v>24</v>
      </c>
      <c r="F12" s="4">
        <f>VLOOKUP($A12,学生基本信息!$A:$F,6,0)</f>
        <v>2400</v>
      </c>
      <c r="G12" s="4">
        <f>VLOOKUP($A12,续费情况!$A:$W,13,0)+VLOOKUP($A12,续费情况!$A:$W,17,0)+VLOOKUP($A12,续费情况!$A:$W,21,0)</f>
        <v>1200</v>
      </c>
      <c r="H12" s="4" t="b">
        <f>VLOOKUP($A12,续费情况!$A:$W,11,0)</f>
        <v>1</v>
      </c>
      <c r="I12" s="4" t="str">
        <f>IF(VLOOKUP($A12,学生考级成绩!$A:$E,4,0)=0,"",VLOOKUP($A12,学生考级成绩!$A:$E,4,0))</f>
        <v>一级</v>
      </c>
      <c r="J12" s="4" t="str">
        <f>IF(VLOOKUP($A12,学生考级成绩!$A:$E,5,0)=0,"",VLOOKUP($A12,学生考级成绩!$A:$E,5,0))</f>
        <v/>
      </c>
      <c r="K12" s="4" t="str">
        <f>IF(VLOOKUP($A12,学生考级成绩!$A:$F,6,0)=0,"",VLOOKUP($A12,学生考级成绩!$A:$F,6,0))</f>
        <v/>
      </c>
      <c r="L12" s="4" t="str">
        <f>IF(VLOOKUP($A12,'2025全国青少年信息素养大赛'!$A:$H,5,0)="已报名","已参赛","未参赛")</f>
        <v>未参赛</v>
      </c>
      <c r="M12" s="4" t="str">
        <f>IF(VLOOKUP($A12,全国青少年人工智能创新挑战赛!$A:$H,5,0)="已报名","已参赛","未参赛")</f>
        <v>未参赛</v>
      </c>
      <c r="N12" s="4" t="str">
        <f t="shared" si="3"/>
        <v>潜力</v>
      </c>
      <c r="O12" s="4">
        <f t="shared" si="4"/>
        <v>3600</v>
      </c>
      <c r="P12" s="4">
        <f t="shared" si="5"/>
        <v>2025</v>
      </c>
      <c r="Q12" s="4">
        <f t="shared" si="6"/>
        <v>5</v>
      </c>
      <c r="R12" s="21">
        <f>VLOOKUP($A12,续费情况!$A:$X,10,0)</f>
        <v>45969</v>
      </c>
      <c r="S12" s="4">
        <f t="shared" si="7"/>
        <v>168</v>
      </c>
      <c r="T12" s="4">
        <f>COUNTIFS(续费情况!$A:$A,$A12,续费情况!$K:$K,TRUE)+COUNTIFS(续费情况!$A:$A,$A12,续费情况!$O:$O,TRUE)+COUNTIFS(续费情况!$A:$A,$A12,续费情况!$S:$S,TRUE)</f>
        <v>1</v>
      </c>
      <c r="U12" s="4">
        <f t="shared" si="8"/>
        <v>1200</v>
      </c>
      <c r="V12" s="26" t="str">
        <f t="shared" si="0"/>
        <v>是</v>
      </c>
      <c r="W12" s="4" t="str">
        <f t="shared" si="1"/>
        <v>否</v>
      </c>
      <c r="X12" s="4">
        <f t="shared" si="2"/>
        <v>3600</v>
      </c>
      <c r="Y12" s="4" t="str">
        <f t="shared" si="9"/>
        <v>中价值</v>
      </c>
      <c r="Z12" s="4" t="str">
        <f t="shared" si="10"/>
        <v>未达标</v>
      </c>
    </row>
    <row r="13" spans="1:26" x14ac:dyDescent="0.25">
      <c r="A13" s="4">
        <v>12</v>
      </c>
      <c r="B13" s="4" t="str">
        <f>VLOOKUP($A13,学生基本信息!$A:$F,2,0)</f>
        <v>王语桐</v>
      </c>
      <c r="C13" s="4" t="str">
        <f>VLOOKUP($A13,学生基本信息!$A:$F,3,0)</f>
        <v>scratch</v>
      </c>
      <c r="D13" s="21">
        <f>VLOOKUP($A13,学生基本信息!$A:$F,4,0)</f>
        <v>45816</v>
      </c>
      <c r="E13" s="4">
        <f>VLOOKUP($A13,学生基本信息!$A:$F,5,0)</f>
        <v>36</v>
      </c>
      <c r="F13" s="4">
        <f>VLOOKUP($A13,学生基本信息!$A:$F,6,0)</f>
        <v>3000</v>
      </c>
      <c r="G13" s="4">
        <f>VLOOKUP($A13,续费情况!$A:$W,13,0)+VLOOKUP($A13,续费情况!$A:$W,17,0)+VLOOKUP($A13,续费情况!$A:$W,21,0)</f>
        <v>600</v>
      </c>
      <c r="H13" s="4" t="b">
        <f>VLOOKUP($A13,续费情况!$A:$W,11,0)</f>
        <v>1</v>
      </c>
      <c r="I13" s="4" t="str">
        <f>IF(VLOOKUP($A13,学生考级成绩!$A:$E,4,0)=0,"",VLOOKUP($A13,学生考级成绩!$A:$E,4,0))</f>
        <v>三级</v>
      </c>
      <c r="J13" s="4" t="str">
        <f>IF(VLOOKUP($A13,学生考级成绩!$A:$E,5,0)=0,"",VLOOKUP($A13,学生考级成绩!$A:$E,5,0))</f>
        <v/>
      </c>
      <c r="K13" s="4" t="str">
        <f>IF(VLOOKUP($A13,学生考级成绩!$A:$F,6,0)=0,"",VLOOKUP($A13,学生考级成绩!$A:$F,6,0))</f>
        <v/>
      </c>
      <c r="L13" s="4" t="str">
        <f>IF(VLOOKUP($A13,'2025全国青少年信息素养大赛'!$A:$H,5,0)="已报名","已参赛","未参赛")</f>
        <v>未参赛</v>
      </c>
      <c r="M13" s="4" t="str">
        <f>IF(VLOOKUP($A13,全国青少年人工智能创新挑战赛!$A:$H,5,0)="已报名","已参赛","未参赛")</f>
        <v>未参赛</v>
      </c>
      <c r="N13" s="4" t="str">
        <f t="shared" si="3"/>
        <v>潜力</v>
      </c>
      <c r="O13" s="4">
        <f t="shared" si="4"/>
        <v>3600</v>
      </c>
      <c r="P13" s="4">
        <f t="shared" si="5"/>
        <v>2025</v>
      </c>
      <c r="Q13" s="4">
        <f t="shared" si="6"/>
        <v>6</v>
      </c>
      <c r="R13" s="21">
        <f>VLOOKUP($A13,续费情况!$A:$X,10,0)</f>
        <v>46068</v>
      </c>
      <c r="S13" s="4">
        <f t="shared" si="7"/>
        <v>252</v>
      </c>
      <c r="T13" s="4">
        <f>COUNTIFS(续费情况!$A:$A,$A13,续费情况!$K:$K,TRUE)+COUNTIFS(续费情况!$A:$A,$A13,续费情况!$O:$O,TRUE)+COUNTIFS(续费情况!$A:$A,$A13,续费情况!$S:$S,TRUE)</f>
        <v>1</v>
      </c>
      <c r="U13" s="4">
        <f t="shared" si="8"/>
        <v>600</v>
      </c>
      <c r="V13" s="26" t="str">
        <f t="shared" si="0"/>
        <v>是</v>
      </c>
      <c r="W13" s="4" t="str">
        <f t="shared" si="1"/>
        <v>否</v>
      </c>
      <c r="X13" s="4">
        <f t="shared" si="2"/>
        <v>3600</v>
      </c>
      <c r="Y13" s="4" t="str">
        <f t="shared" si="9"/>
        <v>中价值</v>
      </c>
      <c r="Z13" s="4" t="str">
        <f t="shared" si="10"/>
        <v>未达标</v>
      </c>
    </row>
    <row r="14" spans="1:26" x14ac:dyDescent="0.25">
      <c r="A14" s="4">
        <v>13</v>
      </c>
      <c r="B14" s="4" t="str">
        <f>VLOOKUP($A14,学生基本信息!$A:$F,2,0)</f>
        <v>张欣瑶</v>
      </c>
      <c r="C14" s="4" t="str">
        <f>VLOOKUP($A14,学生基本信息!$A:$F,3,0)</f>
        <v>scratch</v>
      </c>
      <c r="D14" s="21">
        <f>VLOOKUP($A14,学生基本信息!$A:$F,4,0)</f>
        <v>45829</v>
      </c>
      <c r="E14" s="4">
        <f>VLOOKUP($A14,学生基本信息!$A:$F,5,0)</f>
        <v>24</v>
      </c>
      <c r="F14" s="4">
        <f>VLOOKUP($A14,学生基本信息!$A:$F,6,0)</f>
        <v>2400</v>
      </c>
      <c r="G14" s="4">
        <f>VLOOKUP($A14,续费情况!$A:$W,13,0)+VLOOKUP($A14,续费情况!$A:$W,17,0)+VLOOKUP($A14,续费情况!$A:$W,21,0)</f>
        <v>1200</v>
      </c>
      <c r="H14" s="4" t="b">
        <f>VLOOKUP($A14,续费情况!$A:$W,11,0)</f>
        <v>1</v>
      </c>
      <c r="I14" s="4" t="str">
        <f>IF(VLOOKUP($A14,学生考级成绩!$A:$E,4,0)=0,"",VLOOKUP($A14,学生考级成绩!$A:$E,4,0))</f>
        <v>二级</v>
      </c>
      <c r="J14" s="4" t="str">
        <f>IF(VLOOKUP($A14,学生考级成绩!$A:$E,5,0)=0,"",VLOOKUP($A14,学生考级成绩!$A:$E,5,0))</f>
        <v/>
      </c>
      <c r="K14" s="4" t="str">
        <f>IF(VLOOKUP($A14,学生考级成绩!$A:$F,6,0)=0,"",VLOOKUP($A14,学生考级成绩!$A:$F,6,0))</f>
        <v/>
      </c>
      <c r="L14" s="4" t="str">
        <f>IF(VLOOKUP($A14,'2025全国青少年信息素养大赛'!$A:$H,5,0)="已报名","已参赛","未参赛")</f>
        <v>未参赛</v>
      </c>
      <c r="M14" s="4" t="str">
        <f>IF(VLOOKUP($A14,全国青少年人工智能创新挑战赛!$A:$H,5,0)="已报名","已参赛","未参赛")</f>
        <v>未参赛</v>
      </c>
      <c r="N14" s="4" t="str">
        <f t="shared" si="3"/>
        <v>潜力</v>
      </c>
      <c r="O14" s="4">
        <f t="shared" si="4"/>
        <v>3600</v>
      </c>
      <c r="P14" s="4">
        <f t="shared" si="5"/>
        <v>2025</v>
      </c>
      <c r="Q14" s="4">
        <f t="shared" si="6"/>
        <v>6</v>
      </c>
      <c r="R14" s="21">
        <f>VLOOKUP($A14,续费情况!$A:$X,10,0)</f>
        <v>45997</v>
      </c>
      <c r="S14" s="4">
        <f t="shared" si="7"/>
        <v>168</v>
      </c>
      <c r="T14" s="4">
        <f>COUNTIFS(续费情况!$A:$A,$A14,续费情况!$K:$K,TRUE)+COUNTIFS(续费情况!$A:$A,$A14,续费情况!$O:$O,TRUE)+COUNTIFS(续费情况!$A:$A,$A14,续费情况!$S:$S,TRUE)</f>
        <v>1</v>
      </c>
      <c r="U14" s="4">
        <f t="shared" si="8"/>
        <v>1200</v>
      </c>
      <c r="V14" s="26" t="str">
        <f t="shared" si="0"/>
        <v>是</v>
      </c>
      <c r="W14" s="4" t="str">
        <f t="shared" si="1"/>
        <v>否</v>
      </c>
      <c r="X14" s="4">
        <f t="shared" si="2"/>
        <v>3600</v>
      </c>
      <c r="Y14" s="4" t="str">
        <f t="shared" si="9"/>
        <v>中价值</v>
      </c>
      <c r="Z14" s="4" t="str">
        <f t="shared" si="10"/>
        <v>未达标</v>
      </c>
    </row>
    <row r="15" spans="1:26" x14ac:dyDescent="0.25">
      <c r="A15" s="4">
        <v>14</v>
      </c>
      <c r="B15" s="4" t="str">
        <f>VLOOKUP($A15,学生基本信息!$A:$F,2,0)</f>
        <v>孙靖宇</v>
      </c>
      <c r="C15" s="4" t="str">
        <f>VLOOKUP($A15,学生基本信息!$A:$F,3,0)</f>
        <v>Python</v>
      </c>
      <c r="D15" s="21">
        <f>VLOOKUP($A15,学生基本信息!$A:$F,4,0)</f>
        <v>45837</v>
      </c>
      <c r="E15" s="4">
        <f>VLOOKUP($A15,学生基本信息!$A:$F,5,0)</f>
        <v>12</v>
      </c>
      <c r="F15" s="4">
        <f>VLOOKUP($A15,学生基本信息!$A:$F,6,0)</f>
        <v>1200</v>
      </c>
      <c r="G15" s="4">
        <f>VLOOKUP($A15,续费情况!$A:$W,13,0)+VLOOKUP($A15,续费情况!$A:$W,17,0)+VLOOKUP($A15,续费情况!$A:$W,21,0)</f>
        <v>2400</v>
      </c>
      <c r="H15" s="4" t="b">
        <f>VLOOKUP($A15,续费情况!$A:$W,11,0)</f>
        <v>1</v>
      </c>
      <c r="I15" s="4" t="str">
        <f>IF(VLOOKUP($A15,学生考级成绩!$A:$E,4,0)=0,"",VLOOKUP($A15,学生考级成绩!$A:$E,4,0))</f>
        <v/>
      </c>
      <c r="J15" s="4" t="str">
        <f>IF(VLOOKUP($A15,学生考级成绩!$A:$E,5,0)=0,"",VLOOKUP($A15,学生考级成绩!$A:$E,5,0))</f>
        <v>三级</v>
      </c>
      <c r="K15" s="4" t="str">
        <f>IF(VLOOKUP($A15,学生考级成绩!$A:$F,6,0)=0,"",VLOOKUP($A15,学生考级成绩!$A:$F,6,0))</f>
        <v/>
      </c>
      <c r="L15" s="4" t="str">
        <f>IF(VLOOKUP($A15,'2025全国青少年信息素养大赛'!$A:$H,5,0)="已报名","已参赛","未参赛")</f>
        <v>未参赛</v>
      </c>
      <c r="M15" s="4" t="str">
        <f>IF(VLOOKUP($A15,全国青少年人工智能创新挑战赛!$A:$H,5,0)="已报名","已参赛","未参赛")</f>
        <v>已参赛</v>
      </c>
      <c r="N15" s="4" t="str">
        <f t="shared" si="3"/>
        <v>重赛考</v>
      </c>
      <c r="O15" s="4">
        <f t="shared" si="4"/>
        <v>3600</v>
      </c>
      <c r="P15" s="4">
        <f t="shared" si="5"/>
        <v>2025</v>
      </c>
      <c r="Q15" s="4">
        <f t="shared" si="6"/>
        <v>6</v>
      </c>
      <c r="R15" s="21">
        <f>VLOOKUP($A15,续费情况!$A:$X,10,0)</f>
        <v>45921</v>
      </c>
      <c r="S15" s="4">
        <f t="shared" si="7"/>
        <v>84</v>
      </c>
      <c r="T15" s="4">
        <f>COUNTIFS(续费情况!$A:$A,$A15,续费情况!$K:$K,TRUE)+COUNTIFS(续费情况!$A:$A,$A15,续费情况!$O:$O,TRUE)+COUNTIFS(续费情况!$A:$A,$A15,续费情况!$S:$S,TRUE)</f>
        <v>2</v>
      </c>
      <c r="U15" s="4">
        <f t="shared" si="8"/>
        <v>2400</v>
      </c>
      <c r="V15" s="26" t="str">
        <f t="shared" si="0"/>
        <v>是</v>
      </c>
      <c r="W15" s="4" t="str">
        <f t="shared" si="1"/>
        <v>是</v>
      </c>
      <c r="X15" s="4">
        <f t="shared" si="2"/>
        <v>3600</v>
      </c>
      <c r="Y15" s="4" t="str">
        <f t="shared" si="9"/>
        <v>中价值</v>
      </c>
      <c r="Z15" s="4" t="str">
        <f t="shared" si="10"/>
        <v>续费率达标</v>
      </c>
    </row>
    <row r="16" spans="1:26" x14ac:dyDescent="0.25">
      <c r="A16" s="4">
        <v>15</v>
      </c>
      <c r="B16" s="4" t="str">
        <f>VLOOKUP($A16,学生基本信息!$A:$F,2,0)</f>
        <v>马睿辰</v>
      </c>
      <c r="C16" s="4" t="str">
        <f>VLOOKUP($A16,学生基本信息!$A:$F,3,0)</f>
        <v>Python</v>
      </c>
      <c r="D16" s="21">
        <f>VLOOKUP($A16,学生基本信息!$A:$F,4,0)</f>
        <v>45844</v>
      </c>
      <c r="E16" s="4">
        <f>VLOOKUP($A16,学生基本信息!$A:$F,5,0)</f>
        <v>12</v>
      </c>
      <c r="F16" s="4">
        <f>VLOOKUP($A16,学生基本信息!$A:$F,6,0)</f>
        <v>1200</v>
      </c>
      <c r="G16" s="4">
        <f>VLOOKUP($A16,续费情况!$A:$W,13,0)+VLOOKUP($A16,续费情况!$A:$W,17,0)+VLOOKUP($A16,续费情况!$A:$W,21,0)</f>
        <v>2400</v>
      </c>
      <c r="H16" s="4" t="b">
        <f>VLOOKUP($A16,续费情况!$A:$W,11,0)</f>
        <v>1</v>
      </c>
      <c r="I16" s="4" t="str">
        <f>IF(VLOOKUP($A16,学生考级成绩!$A:$E,4,0)=0,"",VLOOKUP($A16,学生考级成绩!$A:$E,4,0))</f>
        <v/>
      </c>
      <c r="J16" s="4" t="str">
        <f>IF(VLOOKUP($A16,学生考级成绩!$A:$E,5,0)=0,"",VLOOKUP($A16,学生考级成绩!$A:$E,5,0))</f>
        <v>二级</v>
      </c>
      <c r="K16" s="4" t="str">
        <f>IF(VLOOKUP($A16,学生考级成绩!$A:$F,6,0)=0,"",VLOOKUP($A16,学生考级成绩!$A:$F,6,0))</f>
        <v/>
      </c>
      <c r="L16" s="4" t="str">
        <f>IF(VLOOKUP($A16,'2025全国青少年信息素养大赛'!$A:$H,5,0)="已报名","已参赛","未参赛")</f>
        <v>未参赛</v>
      </c>
      <c r="M16" s="4" t="str">
        <f>IF(VLOOKUP($A16,全国青少年人工智能创新挑战赛!$A:$H,5,0)="已报名","已参赛","未参赛")</f>
        <v>已参赛</v>
      </c>
      <c r="N16" s="4" t="str">
        <f t="shared" si="3"/>
        <v>重赛考</v>
      </c>
      <c r="O16" s="4">
        <f t="shared" si="4"/>
        <v>3600</v>
      </c>
      <c r="P16" s="4">
        <f t="shared" si="5"/>
        <v>2025</v>
      </c>
      <c r="Q16" s="4">
        <f t="shared" si="6"/>
        <v>7</v>
      </c>
      <c r="R16" s="21">
        <f>VLOOKUP($A16,续费情况!$A:$X,10,0)</f>
        <v>45928</v>
      </c>
      <c r="S16" s="4">
        <f t="shared" si="7"/>
        <v>84</v>
      </c>
      <c r="T16" s="4">
        <f>COUNTIFS(续费情况!$A:$A,$A16,续费情况!$K:$K,TRUE)+COUNTIFS(续费情况!$A:$A,$A16,续费情况!$O:$O,TRUE)+COUNTIFS(续费情况!$A:$A,$A16,续费情况!$S:$S,TRUE)</f>
        <v>2</v>
      </c>
      <c r="U16" s="4">
        <f t="shared" si="8"/>
        <v>2400</v>
      </c>
      <c r="V16" s="26" t="str">
        <f t="shared" si="0"/>
        <v>是</v>
      </c>
      <c r="W16" s="4" t="str">
        <f t="shared" si="1"/>
        <v>是</v>
      </c>
      <c r="X16" s="4">
        <f t="shared" si="2"/>
        <v>3600</v>
      </c>
      <c r="Y16" s="4" t="str">
        <f t="shared" si="9"/>
        <v>中价值</v>
      </c>
      <c r="Z16" s="4" t="str">
        <f t="shared" si="10"/>
        <v>续费率达标</v>
      </c>
    </row>
    <row r="17" spans="1:26" x14ac:dyDescent="0.25">
      <c r="A17" s="4">
        <v>16</v>
      </c>
      <c r="B17" s="4" t="str">
        <f>VLOOKUP($A17,学生基本信息!$A:$F,2,0)</f>
        <v>刘梓萱</v>
      </c>
      <c r="C17" s="4" t="str">
        <f>VLOOKUP($A17,学生基本信息!$A:$F,3,0)</f>
        <v>scratch</v>
      </c>
      <c r="D17" s="21">
        <f>VLOOKUP($A17,学生基本信息!$A:$F,4,0)</f>
        <v>45849</v>
      </c>
      <c r="E17" s="4">
        <f>VLOOKUP($A17,学生基本信息!$A:$F,5,0)</f>
        <v>12</v>
      </c>
      <c r="F17" s="4">
        <f>VLOOKUP($A17,学生基本信息!$A:$F,6,0)</f>
        <v>1200</v>
      </c>
      <c r="G17" s="4">
        <f>VLOOKUP($A17,续费情况!$A:$W,13,0)+VLOOKUP($A17,续费情况!$A:$W,17,0)+VLOOKUP($A17,续费情况!$A:$W,21,0)</f>
        <v>2400</v>
      </c>
      <c r="H17" s="4" t="b">
        <f>VLOOKUP($A17,续费情况!$A:$W,11,0)</f>
        <v>1</v>
      </c>
      <c r="I17" s="4" t="str">
        <f>IF(VLOOKUP($A17,学生考级成绩!$A:$E,4,0)=0,"",VLOOKUP($A17,学生考级成绩!$A:$E,4,0))</f>
        <v>二级</v>
      </c>
      <c r="J17" s="4" t="str">
        <f>IF(VLOOKUP($A17,学生考级成绩!$A:$E,5,0)=0,"",VLOOKUP($A17,学生考级成绩!$A:$E,5,0))</f>
        <v/>
      </c>
      <c r="K17" s="4" t="str">
        <f>IF(VLOOKUP($A17,学生考级成绩!$A:$F,6,0)=0,"",VLOOKUP($A17,学生考级成绩!$A:$F,6,0))</f>
        <v/>
      </c>
      <c r="L17" s="4" t="str">
        <f>IF(VLOOKUP($A17,'2025全国青少年信息素养大赛'!$A:$H,5,0)="已报名","已参赛","未参赛")</f>
        <v>未参赛</v>
      </c>
      <c r="M17" s="4" t="str">
        <f>IF(VLOOKUP($A17,全国青少年人工智能创新挑战赛!$A:$H,5,0)="已报名","已参赛","未参赛")</f>
        <v>未参赛</v>
      </c>
      <c r="N17" s="4" t="str">
        <f t="shared" si="3"/>
        <v>潜力</v>
      </c>
      <c r="O17" s="4">
        <f t="shared" si="4"/>
        <v>3600</v>
      </c>
      <c r="P17" s="4">
        <f t="shared" si="5"/>
        <v>2025</v>
      </c>
      <c r="Q17" s="4">
        <f t="shared" si="6"/>
        <v>7</v>
      </c>
      <c r="R17" s="21">
        <f>VLOOKUP($A17,续费情况!$A:$X,10,0)</f>
        <v>45933</v>
      </c>
      <c r="S17" s="4">
        <f t="shared" si="7"/>
        <v>84</v>
      </c>
      <c r="T17" s="4">
        <f>COUNTIFS(续费情况!$A:$A,$A17,续费情况!$K:$K,TRUE)+COUNTIFS(续费情况!$A:$A,$A17,续费情况!$O:$O,TRUE)+COUNTIFS(续费情况!$A:$A,$A17,续费情况!$S:$S,TRUE)</f>
        <v>2</v>
      </c>
      <c r="U17" s="4">
        <f t="shared" si="8"/>
        <v>2400</v>
      </c>
      <c r="V17" s="26" t="str">
        <f t="shared" si="0"/>
        <v>是</v>
      </c>
      <c r="W17" s="4" t="str">
        <f t="shared" si="1"/>
        <v>否</v>
      </c>
      <c r="X17" s="4">
        <f t="shared" si="2"/>
        <v>3600</v>
      </c>
      <c r="Y17" s="4" t="str">
        <f t="shared" si="9"/>
        <v>中价值</v>
      </c>
      <c r="Z17" s="4" t="str">
        <f t="shared" si="10"/>
        <v>续费率达标</v>
      </c>
    </row>
    <row r="18" spans="1:26" x14ac:dyDescent="0.25">
      <c r="A18" s="4">
        <v>17</v>
      </c>
      <c r="B18" s="4" t="str">
        <f>VLOOKUP($A18,学生基本信息!$A:$F,2,0)</f>
        <v>朱泽宇</v>
      </c>
      <c r="C18" s="4" t="str">
        <f>VLOOKUP($A18,学生基本信息!$A:$F,3,0)</f>
        <v>scratch</v>
      </c>
      <c r="D18" s="21">
        <f>VLOOKUP($A18,学生基本信息!$A:$F,4,0)</f>
        <v>45849</v>
      </c>
      <c r="E18" s="4">
        <f>VLOOKUP($A18,学生基本信息!$A:$F,5,0)</f>
        <v>12</v>
      </c>
      <c r="F18" s="4">
        <f>VLOOKUP($A18,学生基本信息!$A:$F,6,0)</f>
        <v>1200</v>
      </c>
      <c r="G18" s="4">
        <f>VLOOKUP($A18,续费情况!$A:$W,13,0)+VLOOKUP($A18,续费情况!$A:$W,17,0)+VLOOKUP($A18,续费情况!$A:$W,21,0)</f>
        <v>2400</v>
      </c>
      <c r="H18" s="4" t="b">
        <f>VLOOKUP($A18,续费情况!$A:$W,11,0)</f>
        <v>1</v>
      </c>
      <c r="I18" s="4" t="str">
        <f>IF(VLOOKUP($A18,学生考级成绩!$A:$E,4,0)=0,"",VLOOKUP($A18,学生考级成绩!$A:$E,4,0))</f>
        <v>二级</v>
      </c>
      <c r="J18" s="4" t="str">
        <f>IF(VLOOKUP($A18,学生考级成绩!$A:$E,5,0)=0,"",VLOOKUP($A18,学生考级成绩!$A:$E,5,0))</f>
        <v/>
      </c>
      <c r="K18" s="4" t="str">
        <f>IF(VLOOKUP($A18,学生考级成绩!$A:$F,6,0)=0,"",VLOOKUP($A18,学生考级成绩!$A:$F,6,0))</f>
        <v/>
      </c>
      <c r="L18" s="4" t="str">
        <f>IF(VLOOKUP($A18,'2025全国青少年信息素养大赛'!$A:$H,5,0)="已报名","已参赛","未参赛")</f>
        <v>未参赛</v>
      </c>
      <c r="M18" s="4" t="str">
        <f>IF(VLOOKUP($A18,全国青少年人工智能创新挑战赛!$A:$H,5,0)="已报名","已参赛","未参赛")</f>
        <v>未参赛</v>
      </c>
      <c r="N18" s="4" t="str">
        <f t="shared" si="3"/>
        <v>潜力</v>
      </c>
      <c r="O18" s="4">
        <f t="shared" si="4"/>
        <v>3600</v>
      </c>
      <c r="P18" s="4">
        <f t="shared" si="5"/>
        <v>2025</v>
      </c>
      <c r="Q18" s="4">
        <f t="shared" si="6"/>
        <v>7</v>
      </c>
      <c r="R18" s="21">
        <f>VLOOKUP($A18,续费情况!$A:$X,10,0)</f>
        <v>45933</v>
      </c>
      <c r="S18" s="4">
        <f t="shared" si="7"/>
        <v>84</v>
      </c>
      <c r="T18" s="4">
        <f>COUNTIFS(续费情况!$A:$A,$A18,续费情况!$K:$K,TRUE)+COUNTIFS(续费情况!$A:$A,$A18,续费情况!$O:$O,TRUE)+COUNTIFS(续费情况!$A:$A,$A18,续费情况!$S:$S,TRUE)</f>
        <v>2</v>
      </c>
      <c r="U18" s="4">
        <f t="shared" si="8"/>
        <v>2400</v>
      </c>
      <c r="V18" s="26" t="str">
        <f t="shared" si="0"/>
        <v>是</v>
      </c>
      <c r="W18" s="4" t="str">
        <f t="shared" si="1"/>
        <v>否</v>
      </c>
      <c r="X18" s="4">
        <f t="shared" si="2"/>
        <v>3600</v>
      </c>
      <c r="Y18" s="4" t="str">
        <f t="shared" si="9"/>
        <v>中价值</v>
      </c>
      <c r="Z18" s="4" t="str">
        <f t="shared" si="10"/>
        <v>续费率达标</v>
      </c>
    </row>
    <row r="19" spans="1:26" x14ac:dyDescent="0.25">
      <c r="A19" s="4">
        <v>18</v>
      </c>
      <c r="B19" s="4" t="str">
        <f>VLOOKUP($A19,学生基本信息!$A:$F,2,0)</f>
        <v>陈舒然</v>
      </c>
      <c r="C19" s="4" t="str">
        <f>VLOOKUP($A19,学生基本信息!$A:$F,3,0)</f>
        <v>scratch</v>
      </c>
      <c r="D19" s="21">
        <f>VLOOKUP($A19,学生基本信息!$A:$F,4,0)</f>
        <v>45851</v>
      </c>
      <c r="E19" s="4">
        <f>VLOOKUP($A19,学生基本信息!$A:$F,5,0)</f>
        <v>24</v>
      </c>
      <c r="F19" s="4">
        <f>VLOOKUP($A19,学生基本信息!$A:$F,6,0)</f>
        <v>2400</v>
      </c>
      <c r="G19" s="4">
        <f>VLOOKUP($A19,续费情况!$A:$W,13,0)+VLOOKUP($A19,续费情况!$A:$W,17,0)+VLOOKUP($A19,续费情况!$A:$W,21,0)</f>
        <v>600</v>
      </c>
      <c r="H19" s="4" t="b">
        <f>VLOOKUP($A19,续费情况!$A:$W,11,0)</f>
        <v>1</v>
      </c>
      <c r="I19" s="4" t="str">
        <f>IF(VLOOKUP($A19,学生考级成绩!$A:$E,4,0)=0,"",VLOOKUP($A19,学生考级成绩!$A:$E,4,0))</f>
        <v>二级</v>
      </c>
      <c r="J19" s="4" t="str">
        <f>IF(VLOOKUP($A19,学生考级成绩!$A:$E,5,0)=0,"",VLOOKUP($A19,学生考级成绩!$A:$E,5,0))</f>
        <v/>
      </c>
      <c r="K19" s="4" t="str">
        <f>IF(VLOOKUP($A19,学生考级成绩!$A:$F,6,0)=0,"",VLOOKUP($A19,学生考级成绩!$A:$F,6,0))</f>
        <v/>
      </c>
      <c r="L19" s="4" t="str">
        <f>IF(VLOOKUP($A19,'2025全国青少年信息素养大赛'!$A:$H,5,0)="已报名","已参赛","未参赛")</f>
        <v>未参赛</v>
      </c>
      <c r="M19" s="4" t="str">
        <f>IF(VLOOKUP($A19,全国青少年人工智能创新挑战赛!$A:$H,5,0)="已报名","已参赛","未参赛")</f>
        <v>未参赛</v>
      </c>
      <c r="N19" s="4" t="str">
        <f t="shared" si="3"/>
        <v>潜力</v>
      </c>
      <c r="O19" s="4">
        <f t="shared" si="4"/>
        <v>3000</v>
      </c>
      <c r="P19" s="4">
        <f t="shared" si="5"/>
        <v>2025</v>
      </c>
      <c r="Q19" s="4">
        <f t="shared" si="6"/>
        <v>7</v>
      </c>
      <c r="R19" s="21">
        <f>VLOOKUP($A19,续费情况!$A:$X,10,0)</f>
        <v>46019</v>
      </c>
      <c r="S19" s="4">
        <f t="shared" si="7"/>
        <v>168</v>
      </c>
      <c r="T19" s="4">
        <f>COUNTIFS(续费情况!$A:$A,$A19,续费情况!$K:$K,TRUE)+COUNTIFS(续费情况!$A:$A,$A19,续费情况!$O:$O,TRUE)+COUNTIFS(续费情况!$A:$A,$A19,续费情况!$S:$S,TRUE)</f>
        <v>1</v>
      </c>
      <c r="U19" s="4">
        <f t="shared" si="8"/>
        <v>600</v>
      </c>
      <c r="V19" s="26" t="str">
        <f t="shared" si="0"/>
        <v>是</v>
      </c>
      <c r="W19" s="4" t="str">
        <f t="shared" si="1"/>
        <v>否</v>
      </c>
      <c r="X19" s="4">
        <f t="shared" si="2"/>
        <v>3000</v>
      </c>
      <c r="Y19" s="4" t="str">
        <f t="shared" si="9"/>
        <v>中价值</v>
      </c>
      <c r="Z19" s="4" t="str">
        <f t="shared" si="10"/>
        <v>未达标</v>
      </c>
    </row>
    <row r="20" spans="1:26" x14ac:dyDescent="0.25">
      <c r="A20" s="4">
        <v>19</v>
      </c>
      <c r="B20" s="4" t="str">
        <f>VLOOKUP($A20,学生基本信息!$A:$F,2,0)</f>
        <v>胡星朗</v>
      </c>
      <c r="C20" s="4" t="str">
        <f>VLOOKUP($A20,学生基本信息!$A:$F,3,0)</f>
        <v>scratch</v>
      </c>
      <c r="D20" s="21">
        <f>VLOOKUP($A20,学生基本信息!$A:$F,4,0)</f>
        <v>45857</v>
      </c>
      <c r="E20" s="4">
        <f>VLOOKUP($A20,学生基本信息!$A:$F,5,0)</f>
        <v>24</v>
      </c>
      <c r="F20" s="4">
        <f>VLOOKUP($A20,学生基本信息!$A:$F,6,0)</f>
        <v>2400</v>
      </c>
      <c r="G20" s="4">
        <f>VLOOKUP($A20,续费情况!$A:$W,13,0)+VLOOKUP($A20,续费情况!$A:$W,17,0)+VLOOKUP($A20,续费情况!$A:$W,21,0)</f>
        <v>600</v>
      </c>
      <c r="H20" s="4" t="b">
        <f>VLOOKUP($A20,续费情况!$A:$W,11,0)</f>
        <v>1</v>
      </c>
      <c r="I20" s="4" t="str">
        <f>IF(VLOOKUP($A20,学生考级成绩!$A:$E,4,0)=0,"",VLOOKUP($A20,学生考级成绩!$A:$E,4,0))</f>
        <v>二级</v>
      </c>
      <c r="J20" s="4" t="str">
        <f>IF(VLOOKUP($A20,学生考级成绩!$A:$E,5,0)=0,"",VLOOKUP($A20,学生考级成绩!$A:$E,5,0))</f>
        <v/>
      </c>
      <c r="K20" s="4" t="str">
        <f>IF(VLOOKUP($A20,学生考级成绩!$A:$F,6,0)=0,"",VLOOKUP($A20,学生考级成绩!$A:$F,6,0))</f>
        <v/>
      </c>
      <c r="L20" s="4" t="str">
        <f>IF(VLOOKUP($A20,'2025全国青少年信息素养大赛'!$A:$H,5,0)="已报名","已参赛","未参赛")</f>
        <v>未参赛</v>
      </c>
      <c r="M20" s="4" t="str">
        <f>IF(VLOOKUP($A20,全国青少年人工智能创新挑战赛!$A:$H,5,0)="已报名","已参赛","未参赛")</f>
        <v>未参赛</v>
      </c>
      <c r="N20" s="4" t="str">
        <f t="shared" si="3"/>
        <v>潜力</v>
      </c>
      <c r="O20" s="4">
        <f t="shared" si="4"/>
        <v>3000</v>
      </c>
      <c r="P20" s="4">
        <f t="shared" si="5"/>
        <v>2025</v>
      </c>
      <c r="Q20" s="4">
        <f t="shared" si="6"/>
        <v>7</v>
      </c>
      <c r="R20" s="21">
        <f>VLOOKUP($A20,续费情况!$A:$X,10,0)</f>
        <v>46025</v>
      </c>
      <c r="S20" s="4">
        <f t="shared" si="7"/>
        <v>168</v>
      </c>
      <c r="T20" s="4">
        <f>COUNTIFS(续费情况!$A:$A,$A20,续费情况!$K:$K,TRUE)+COUNTIFS(续费情况!$A:$A,$A20,续费情况!$O:$O,TRUE)+COUNTIFS(续费情况!$A:$A,$A20,续费情况!$S:$S,TRUE)</f>
        <v>1</v>
      </c>
      <c r="U20" s="4">
        <f t="shared" si="8"/>
        <v>600</v>
      </c>
      <c r="V20" s="26" t="str">
        <f t="shared" si="0"/>
        <v>是</v>
      </c>
      <c r="W20" s="4" t="str">
        <f t="shared" si="1"/>
        <v>否</v>
      </c>
      <c r="X20" s="4">
        <f t="shared" si="2"/>
        <v>3000</v>
      </c>
      <c r="Y20" s="4" t="str">
        <f t="shared" si="9"/>
        <v>中价值</v>
      </c>
      <c r="Z20" s="4" t="str">
        <f t="shared" si="10"/>
        <v>未达标</v>
      </c>
    </row>
    <row r="21" spans="1:26" x14ac:dyDescent="0.25">
      <c r="A21" s="4">
        <v>20</v>
      </c>
      <c r="B21" s="4" t="str">
        <f>VLOOKUP($A21,学生基本信息!$A:$F,2,0)</f>
        <v>林凯瑞</v>
      </c>
      <c r="C21" s="4" t="str">
        <f>VLOOKUP($A21,学生基本信息!$A:$F,3,0)</f>
        <v>scratch</v>
      </c>
      <c r="D21" s="21">
        <f>VLOOKUP($A21,学生基本信息!$A:$F,4,0)</f>
        <v>45858</v>
      </c>
      <c r="E21" s="4">
        <f>VLOOKUP($A21,学生基本信息!$A:$F,5,0)</f>
        <v>24</v>
      </c>
      <c r="F21" s="4">
        <f>VLOOKUP($A21,学生基本信息!$A:$F,6,0)</f>
        <v>2400</v>
      </c>
      <c r="G21" s="4">
        <f>VLOOKUP($A21,续费情况!$A:$W,13,0)+VLOOKUP($A21,续费情况!$A:$W,17,0)+VLOOKUP($A21,续费情况!$A:$W,21,0)</f>
        <v>600</v>
      </c>
      <c r="H21" s="4" t="b">
        <f>VLOOKUP($A21,续费情况!$A:$W,11,0)</f>
        <v>1</v>
      </c>
      <c r="I21" s="4" t="str">
        <f>IF(VLOOKUP($A21,学生考级成绩!$A:$E,4,0)=0,"",VLOOKUP($A21,学生考级成绩!$A:$E,4,0))</f>
        <v>二级</v>
      </c>
      <c r="J21" s="4" t="str">
        <f>IF(VLOOKUP($A21,学生考级成绩!$A:$E,5,0)=0,"",VLOOKUP($A21,学生考级成绩!$A:$E,5,0))</f>
        <v/>
      </c>
      <c r="K21" s="4" t="str">
        <f>IF(VLOOKUP($A21,学生考级成绩!$A:$F,6,0)=0,"",VLOOKUP($A21,学生考级成绩!$A:$F,6,0))</f>
        <v/>
      </c>
      <c r="L21" s="4" t="str">
        <f>IF(VLOOKUP($A21,'2025全国青少年信息素养大赛'!$A:$H,5,0)="已报名","已参赛","未参赛")</f>
        <v>未参赛</v>
      </c>
      <c r="M21" s="4" t="str">
        <f>IF(VLOOKUP($A21,全国青少年人工智能创新挑战赛!$A:$H,5,0)="已报名","已参赛","未参赛")</f>
        <v>未参赛</v>
      </c>
      <c r="N21" s="4" t="str">
        <f t="shared" si="3"/>
        <v>潜力</v>
      </c>
      <c r="O21" s="4">
        <f t="shared" si="4"/>
        <v>3000</v>
      </c>
      <c r="P21" s="4">
        <f t="shared" si="5"/>
        <v>2025</v>
      </c>
      <c r="Q21" s="4">
        <f t="shared" si="6"/>
        <v>7</v>
      </c>
      <c r="R21" s="21">
        <f>VLOOKUP($A21,续费情况!$A:$X,10,0)</f>
        <v>46026</v>
      </c>
      <c r="S21" s="4">
        <f t="shared" si="7"/>
        <v>168</v>
      </c>
      <c r="T21" s="4">
        <f>COUNTIFS(续费情况!$A:$A,$A21,续费情况!$K:$K,TRUE)+COUNTIFS(续费情况!$A:$A,$A21,续费情况!$O:$O,TRUE)+COUNTIFS(续费情况!$A:$A,$A21,续费情况!$S:$S,TRUE)</f>
        <v>1</v>
      </c>
      <c r="U21" s="4">
        <f t="shared" si="8"/>
        <v>600</v>
      </c>
      <c r="V21" s="26" t="str">
        <f t="shared" si="0"/>
        <v>是</v>
      </c>
      <c r="W21" s="4" t="str">
        <f t="shared" si="1"/>
        <v>否</v>
      </c>
      <c r="X21" s="4">
        <f t="shared" si="2"/>
        <v>3000</v>
      </c>
      <c r="Y21" s="4" t="str">
        <f t="shared" si="9"/>
        <v>中价值</v>
      </c>
      <c r="Z21" s="4" t="str">
        <f t="shared" si="10"/>
        <v>未达标</v>
      </c>
    </row>
    <row r="22" spans="1:26" x14ac:dyDescent="0.25">
      <c r="A22" s="4">
        <v>21</v>
      </c>
      <c r="B22" s="4" t="str">
        <f>VLOOKUP($A22,学生基本信息!$A:$F,2,0)</f>
        <v>周芷晴</v>
      </c>
      <c r="C22" s="4" t="str">
        <f>VLOOKUP($A22,学生基本信息!$A:$F,3,0)</f>
        <v>c++</v>
      </c>
      <c r="D22" s="21">
        <f>VLOOKUP($A22,学生基本信息!$A:$F,4,0)</f>
        <v>45871</v>
      </c>
      <c r="E22" s="4">
        <f>VLOOKUP($A22,学生基本信息!$A:$F,5,0)</f>
        <v>12</v>
      </c>
      <c r="F22" s="4">
        <f>VLOOKUP($A22,学生基本信息!$A:$F,6,0)</f>
        <v>1200</v>
      </c>
      <c r="G22" s="4">
        <f>VLOOKUP($A22,续费情况!$A:$W,13,0)+VLOOKUP($A22,续费情况!$A:$W,17,0)+VLOOKUP($A22,续费情况!$A:$W,21,0)</f>
        <v>1800</v>
      </c>
      <c r="H22" s="4" t="b">
        <f>VLOOKUP($A22,续费情况!$A:$W,11,0)</f>
        <v>1</v>
      </c>
      <c r="I22" s="4" t="str">
        <f>IF(VLOOKUP($A22,学生考级成绩!$A:$E,4,0)=0,"",VLOOKUP($A22,学生考级成绩!$A:$E,4,0))</f>
        <v/>
      </c>
      <c r="J22" s="4" t="str">
        <f>IF(VLOOKUP($A22,学生考级成绩!$A:$E,5,0)=0,"",VLOOKUP($A22,学生考级成绩!$A:$E,5,0))</f>
        <v/>
      </c>
      <c r="K22" s="4" t="str">
        <f>IF(VLOOKUP($A22,学生考级成绩!$A:$F,6,0)=0,"",VLOOKUP($A22,学生考级成绩!$A:$F,6,0))</f>
        <v>二级</v>
      </c>
      <c r="L22" s="4" t="str">
        <f>IF(VLOOKUP($A22,'2025全国青少年信息素养大赛'!$A:$H,5,0)="已报名","已参赛","未参赛")</f>
        <v>未参赛</v>
      </c>
      <c r="M22" s="4" t="str">
        <f>IF(VLOOKUP($A22,全国青少年人工智能创新挑战赛!$A:$H,5,0)="已报名","已参赛","未参赛")</f>
        <v>未参赛</v>
      </c>
      <c r="N22" s="4" t="str">
        <f t="shared" si="3"/>
        <v>潜力</v>
      </c>
      <c r="O22" s="4">
        <f t="shared" si="4"/>
        <v>3000</v>
      </c>
      <c r="P22" s="4">
        <f t="shared" si="5"/>
        <v>2025</v>
      </c>
      <c r="Q22" s="4">
        <f t="shared" si="6"/>
        <v>8</v>
      </c>
      <c r="R22" s="21">
        <f>VLOOKUP($A22,续费情况!$A:$X,10,0)</f>
        <v>45955</v>
      </c>
      <c r="S22" s="4">
        <f t="shared" si="7"/>
        <v>84</v>
      </c>
      <c r="T22" s="4">
        <f>COUNTIFS(续费情况!$A:$A,$A22,续费情况!$K:$K,TRUE)+COUNTIFS(续费情况!$A:$A,$A22,续费情况!$O:$O,TRUE)+COUNTIFS(续费情况!$A:$A,$A22,续费情况!$S:$S,TRUE)</f>
        <v>2</v>
      </c>
      <c r="U22" s="4">
        <f t="shared" si="8"/>
        <v>1800</v>
      </c>
      <c r="V22" s="26" t="str">
        <f t="shared" si="0"/>
        <v>是</v>
      </c>
      <c r="W22" s="4" t="str">
        <f t="shared" si="1"/>
        <v>否</v>
      </c>
      <c r="X22" s="4">
        <f t="shared" si="2"/>
        <v>3000</v>
      </c>
      <c r="Y22" s="4" t="str">
        <f t="shared" si="9"/>
        <v>中价值</v>
      </c>
      <c r="Z22" s="4" t="str">
        <f t="shared" si="10"/>
        <v>续费率达标</v>
      </c>
    </row>
    <row r="23" spans="1:26" x14ac:dyDescent="0.25">
      <c r="A23" s="4">
        <v>22</v>
      </c>
      <c r="B23" s="4" t="str">
        <f>VLOOKUP($A23,学生基本信息!$A:$F,2,0)</f>
        <v>郭彦彬</v>
      </c>
      <c r="C23" s="4" t="str">
        <f>VLOOKUP($A23,学生基本信息!$A:$F,3,0)</f>
        <v>c++</v>
      </c>
      <c r="D23" s="21">
        <f>VLOOKUP($A23,学生基本信息!$A:$F,4,0)</f>
        <v>45872</v>
      </c>
      <c r="E23" s="4">
        <f>VLOOKUP($A23,学生基本信息!$A:$F,5,0)</f>
        <v>36</v>
      </c>
      <c r="F23" s="4">
        <f>VLOOKUP($A23,学生基本信息!$A:$F,6,0)</f>
        <v>3000</v>
      </c>
      <c r="G23" s="4">
        <f>VLOOKUP($A23,续费情况!$A:$W,13,0)+VLOOKUP($A23,续费情况!$A:$W,17,0)+VLOOKUP($A23,续费情况!$A:$W,21,0)</f>
        <v>0</v>
      </c>
      <c r="H23" s="4" t="b">
        <f>VLOOKUP($A23,续费情况!$A:$W,11,0)</f>
        <v>0</v>
      </c>
      <c r="I23" s="4" t="str">
        <f>IF(VLOOKUP($A23,学生考级成绩!$A:$E,4,0)=0,"",VLOOKUP($A23,学生考级成绩!$A:$E,4,0))</f>
        <v/>
      </c>
      <c r="J23" s="4" t="str">
        <f>IF(VLOOKUP($A23,学生考级成绩!$A:$E,5,0)=0,"",VLOOKUP($A23,学生考级成绩!$A:$E,5,0))</f>
        <v/>
      </c>
      <c r="K23" s="4" t="str">
        <f>IF(VLOOKUP($A23,学生考级成绩!$A:$F,6,0)=0,"",VLOOKUP($A23,学生考级成绩!$A:$F,6,0))</f>
        <v>二级</v>
      </c>
      <c r="L23" s="4" t="str">
        <f>IF(VLOOKUP($A23,'2025全国青少年信息素养大赛'!$A:$H,5,0)="已报名","已参赛","未参赛")</f>
        <v>未参赛</v>
      </c>
      <c r="M23" s="4" t="str">
        <f>IF(VLOOKUP($A23,全国青少年人工智能创新挑战赛!$A:$H,5,0)="已报名","已参赛","未参赛")</f>
        <v>未参赛</v>
      </c>
      <c r="N23" s="4" t="str">
        <f t="shared" si="3"/>
        <v>潜力</v>
      </c>
      <c r="O23" s="4">
        <f t="shared" si="4"/>
        <v>3000</v>
      </c>
      <c r="P23" s="4">
        <f t="shared" si="5"/>
        <v>2025</v>
      </c>
      <c r="Q23" s="4">
        <f t="shared" si="6"/>
        <v>8</v>
      </c>
      <c r="R23" s="21">
        <f>VLOOKUP($A23,续费情况!$A:$X,10,0)</f>
        <v>46124</v>
      </c>
      <c r="S23" s="4">
        <f t="shared" si="7"/>
        <v>252</v>
      </c>
      <c r="T23" s="4">
        <f>COUNTIFS(续费情况!$A:$A,$A23,续费情况!$K:$K,TRUE)+COUNTIFS(续费情况!$A:$A,$A23,续费情况!$O:$O,TRUE)+COUNTIFS(续费情况!$A:$A,$A23,续费情况!$S:$S,TRUE)</f>
        <v>0</v>
      </c>
      <c r="U23" s="4">
        <f t="shared" si="8"/>
        <v>0</v>
      </c>
      <c r="V23" s="26" t="str">
        <f t="shared" si="0"/>
        <v>是</v>
      </c>
      <c r="W23" s="4" t="str">
        <f t="shared" si="1"/>
        <v>否</v>
      </c>
      <c r="X23" s="4">
        <f t="shared" si="2"/>
        <v>3000</v>
      </c>
      <c r="Y23" s="4" t="str">
        <f t="shared" si="9"/>
        <v>中价值</v>
      </c>
      <c r="Z23" s="4" t="str">
        <f t="shared" si="10"/>
        <v>未达标</v>
      </c>
    </row>
    <row r="24" spans="1:26" x14ac:dyDescent="0.25">
      <c r="A24" s="4">
        <v>23</v>
      </c>
      <c r="B24" s="4" t="str">
        <f>VLOOKUP($A24,学生基本信息!$A:$F,2,0)</f>
        <v>吴佳妮</v>
      </c>
      <c r="C24" s="4" t="str">
        <f>VLOOKUP($A24,学生基本信息!$A:$F,3,0)</f>
        <v>c++</v>
      </c>
      <c r="D24" s="21">
        <f>VLOOKUP($A24,学生基本信息!$A:$F,4,0)</f>
        <v>45886</v>
      </c>
      <c r="E24" s="4">
        <f>VLOOKUP($A24,学生基本信息!$A:$F,5,0)</f>
        <v>12</v>
      </c>
      <c r="F24" s="4">
        <f>VLOOKUP($A24,学生基本信息!$A:$F,6,0)</f>
        <v>1200</v>
      </c>
      <c r="G24" s="4">
        <f>VLOOKUP($A24,续费情况!$A:$W,13,0)+VLOOKUP($A24,续费情况!$A:$W,17,0)+VLOOKUP($A24,续费情况!$A:$W,21,0)</f>
        <v>1200</v>
      </c>
      <c r="H24" s="4" t="b">
        <f>VLOOKUP($A24,续费情况!$A:$W,11,0)</f>
        <v>1</v>
      </c>
      <c r="I24" s="4" t="str">
        <f>IF(VLOOKUP($A24,学生考级成绩!$A:$E,4,0)=0,"",VLOOKUP($A24,学生考级成绩!$A:$E,4,0))</f>
        <v/>
      </c>
      <c r="J24" s="4" t="str">
        <f>IF(VLOOKUP($A24,学生考级成绩!$A:$E,5,0)=0,"",VLOOKUP($A24,学生考级成绩!$A:$E,5,0))</f>
        <v/>
      </c>
      <c r="K24" s="4" t="str">
        <f>IF(VLOOKUP($A24,学生考级成绩!$A:$F,6,0)=0,"",VLOOKUP($A24,学生考级成绩!$A:$F,6,0))</f>
        <v>二级</v>
      </c>
      <c r="L24" s="4" t="str">
        <f>IF(VLOOKUP($A24,'2025全国青少年信息素养大赛'!$A:$H,5,0)="已报名","已参赛","未参赛")</f>
        <v>未参赛</v>
      </c>
      <c r="M24" s="4" t="str">
        <f>IF(VLOOKUP($A24,全国青少年人工智能创新挑战赛!$A:$H,5,0)="已报名","已参赛","未参赛")</f>
        <v>未参赛</v>
      </c>
      <c r="N24" s="4" t="str">
        <f t="shared" si="3"/>
        <v>潜力</v>
      </c>
      <c r="O24" s="4">
        <f t="shared" si="4"/>
        <v>2400</v>
      </c>
      <c r="P24" s="4">
        <f t="shared" si="5"/>
        <v>2025</v>
      </c>
      <c r="Q24" s="4">
        <f t="shared" si="6"/>
        <v>8</v>
      </c>
      <c r="R24" s="21">
        <f>VLOOKUP($A24,续费情况!$A:$X,10,0)</f>
        <v>45970</v>
      </c>
      <c r="S24" s="4">
        <f t="shared" si="7"/>
        <v>84</v>
      </c>
      <c r="T24" s="4">
        <f>COUNTIFS(续费情况!$A:$A,$A24,续费情况!$K:$K,TRUE)+COUNTIFS(续费情况!$A:$A,$A24,续费情况!$O:$O,TRUE)+COUNTIFS(续费情况!$A:$A,$A24,续费情况!$S:$S,TRUE)</f>
        <v>1</v>
      </c>
      <c r="U24" s="4">
        <f t="shared" si="8"/>
        <v>1200</v>
      </c>
      <c r="V24" s="26" t="str">
        <f t="shared" si="0"/>
        <v>是</v>
      </c>
      <c r="W24" s="4" t="str">
        <f t="shared" si="1"/>
        <v>否</v>
      </c>
      <c r="X24" s="4">
        <f t="shared" si="2"/>
        <v>2400</v>
      </c>
      <c r="Y24" s="4" t="str">
        <f t="shared" si="9"/>
        <v>低价值</v>
      </c>
      <c r="Z24" s="4" t="str">
        <f t="shared" si="10"/>
        <v>续费率达标</v>
      </c>
    </row>
    <row r="25" spans="1:26" x14ac:dyDescent="0.25">
      <c r="A25" s="4">
        <v>24</v>
      </c>
      <c r="B25" s="4" t="str">
        <f>VLOOKUP($A25,学生基本信息!$A:$F,2,0)</f>
        <v>郑雨茉</v>
      </c>
      <c r="C25" s="4" t="str">
        <f>VLOOKUP($A25,学生基本信息!$A:$F,3,0)</f>
        <v>scratch</v>
      </c>
      <c r="D25" s="21">
        <f>VLOOKUP($A25,学生基本信息!$A:$F,4,0)</f>
        <v>45886</v>
      </c>
      <c r="E25" s="4">
        <f>VLOOKUP($A25,学生基本信息!$A:$F,5,0)</f>
        <v>12</v>
      </c>
      <c r="F25" s="4">
        <f>VLOOKUP($A25,学生基本信息!$A:$F,6,0)</f>
        <v>1200</v>
      </c>
      <c r="G25" s="4">
        <f>VLOOKUP($A25,续费情况!$A:$W,13,0)+VLOOKUP($A25,续费情况!$A:$W,17,0)+VLOOKUP($A25,续费情况!$A:$W,21,0)</f>
        <v>1200</v>
      </c>
      <c r="H25" s="4" t="b">
        <f>VLOOKUP($A25,续费情况!$A:$W,11,0)</f>
        <v>1</v>
      </c>
      <c r="I25" s="4" t="str">
        <f>IF(VLOOKUP($A25,学生考级成绩!$A:$E,4,0)=0,"",VLOOKUP($A25,学生考级成绩!$A:$E,4,0))</f>
        <v>二级</v>
      </c>
      <c r="J25" s="4" t="str">
        <f>IF(VLOOKUP($A25,学生考级成绩!$A:$E,5,0)=0,"",VLOOKUP($A25,学生考级成绩!$A:$E,5,0))</f>
        <v/>
      </c>
      <c r="K25" s="4" t="str">
        <f>IF(VLOOKUP($A25,学生考级成绩!$A:$F,6,0)=0,"",VLOOKUP($A25,学生考级成绩!$A:$F,6,0))</f>
        <v/>
      </c>
      <c r="L25" s="4" t="str">
        <f>IF(VLOOKUP($A25,'2025全国青少年信息素养大赛'!$A:$H,5,0)="已报名","已参赛","未参赛")</f>
        <v>未参赛</v>
      </c>
      <c r="M25" s="4" t="str">
        <f>IF(VLOOKUP($A25,全国青少年人工智能创新挑战赛!$A:$H,5,0)="已报名","已参赛","未参赛")</f>
        <v>未参赛</v>
      </c>
      <c r="N25" s="4" t="str">
        <f t="shared" si="3"/>
        <v>潜力</v>
      </c>
      <c r="O25" s="4">
        <f t="shared" si="4"/>
        <v>2400</v>
      </c>
      <c r="P25" s="4">
        <f t="shared" si="5"/>
        <v>2025</v>
      </c>
      <c r="Q25" s="4">
        <f t="shared" si="6"/>
        <v>8</v>
      </c>
      <c r="R25" s="21">
        <f>VLOOKUP($A25,续费情况!$A:$X,10,0)</f>
        <v>45970</v>
      </c>
      <c r="S25" s="4">
        <f t="shared" si="7"/>
        <v>84</v>
      </c>
      <c r="T25" s="4">
        <f>COUNTIFS(续费情况!$A:$A,$A25,续费情况!$K:$K,TRUE)+COUNTIFS(续费情况!$A:$A,$A25,续费情况!$O:$O,TRUE)+COUNTIFS(续费情况!$A:$A,$A25,续费情况!$S:$S,TRUE)</f>
        <v>1</v>
      </c>
      <c r="U25" s="4">
        <f t="shared" si="8"/>
        <v>1200</v>
      </c>
      <c r="V25" s="26" t="str">
        <f t="shared" si="0"/>
        <v>是</v>
      </c>
      <c r="W25" s="4" t="str">
        <f t="shared" si="1"/>
        <v>否</v>
      </c>
      <c r="X25" s="4">
        <f t="shared" si="2"/>
        <v>2400</v>
      </c>
      <c r="Y25" s="4" t="str">
        <f t="shared" si="9"/>
        <v>低价值</v>
      </c>
      <c r="Z25" s="4" t="str">
        <f t="shared" si="10"/>
        <v>续费率达标</v>
      </c>
    </row>
    <row r="26" spans="1:26" x14ac:dyDescent="0.25">
      <c r="A26" s="4">
        <v>25</v>
      </c>
      <c r="B26" s="4" t="str">
        <f>VLOOKUP($A26,学生基本信息!$A:$F,2,0)</f>
        <v>宋启恒</v>
      </c>
      <c r="C26" s="4" t="str">
        <f>VLOOKUP($A26,学生基本信息!$A:$F,3,0)</f>
        <v>c++</v>
      </c>
      <c r="D26" s="21">
        <f>VLOOKUP($A26,学生基本信息!$A:$F,4,0)</f>
        <v>45891</v>
      </c>
      <c r="E26" s="4">
        <f>VLOOKUP($A26,学生基本信息!$A:$F,5,0)</f>
        <v>24</v>
      </c>
      <c r="F26" s="4">
        <f>VLOOKUP($A26,学生基本信息!$A:$F,6,0)</f>
        <v>2400</v>
      </c>
      <c r="G26" s="4">
        <f>VLOOKUP($A26,续费情况!$A:$W,13,0)+VLOOKUP($A26,续费情况!$A:$W,17,0)+VLOOKUP($A26,续费情况!$A:$W,21,0)</f>
        <v>0</v>
      </c>
      <c r="H26" s="4" t="b">
        <f>VLOOKUP($A26,续费情况!$A:$W,11,0)</f>
        <v>0</v>
      </c>
      <c r="I26" s="4" t="str">
        <f>IF(VLOOKUP($A26,学生考级成绩!$A:$E,4,0)=0,"",VLOOKUP($A26,学生考级成绩!$A:$E,4,0))</f>
        <v/>
      </c>
      <c r="J26" s="4" t="str">
        <f>IF(VLOOKUP($A26,学生考级成绩!$A:$E,5,0)=0,"",VLOOKUP($A26,学生考级成绩!$A:$E,5,0))</f>
        <v/>
      </c>
      <c r="K26" s="4" t="str">
        <f>IF(VLOOKUP($A26,学生考级成绩!$A:$F,6,0)=0,"",VLOOKUP($A26,学生考级成绩!$A:$F,6,0))</f>
        <v>一级</v>
      </c>
      <c r="L26" s="4" t="str">
        <f>IF(VLOOKUP($A26,'2025全国青少年信息素养大赛'!$A:$H,5,0)="已报名","已参赛","未参赛")</f>
        <v>未参赛</v>
      </c>
      <c r="M26" s="4" t="str">
        <f>IF(VLOOKUP($A26,全国青少年人工智能创新挑战赛!$A:$H,5,0)="已报名","已参赛","未参赛")</f>
        <v>未参赛</v>
      </c>
      <c r="N26" s="4" t="str">
        <f t="shared" si="3"/>
        <v>潜力</v>
      </c>
      <c r="O26" s="4">
        <f t="shared" si="4"/>
        <v>2400</v>
      </c>
      <c r="P26" s="4">
        <f t="shared" si="5"/>
        <v>2025</v>
      </c>
      <c r="Q26" s="4">
        <f t="shared" si="6"/>
        <v>8</v>
      </c>
      <c r="R26" s="21">
        <f>VLOOKUP($A26,续费情况!$A:$X,10,0)</f>
        <v>46059</v>
      </c>
      <c r="S26" s="4">
        <f t="shared" si="7"/>
        <v>168</v>
      </c>
      <c r="T26" s="4">
        <f>COUNTIFS(续费情况!$A:$A,$A26,续费情况!$K:$K,TRUE)+COUNTIFS(续费情况!$A:$A,$A26,续费情况!$O:$O,TRUE)+COUNTIFS(续费情况!$A:$A,$A26,续费情况!$S:$S,TRUE)</f>
        <v>0</v>
      </c>
      <c r="U26" s="4">
        <f t="shared" si="8"/>
        <v>0</v>
      </c>
      <c r="V26" s="26" t="str">
        <f t="shared" si="0"/>
        <v>是</v>
      </c>
      <c r="W26" s="4" t="str">
        <f t="shared" si="1"/>
        <v>否</v>
      </c>
      <c r="X26" s="4">
        <f t="shared" si="2"/>
        <v>2400</v>
      </c>
      <c r="Y26" s="4" t="str">
        <f t="shared" si="9"/>
        <v>低价值</v>
      </c>
      <c r="Z26" s="4" t="str">
        <f t="shared" si="10"/>
        <v>未达标</v>
      </c>
    </row>
    <row r="27" spans="1:26" x14ac:dyDescent="0.25">
      <c r="A27" s="4">
        <v>26</v>
      </c>
      <c r="B27" s="4" t="str">
        <f>VLOOKUP($A27,学生基本信息!$A:$F,2,0)</f>
        <v>黄诗涵</v>
      </c>
      <c r="C27" s="4" t="str">
        <f>VLOOKUP($A27,学生基本信息!$A:$F,3,0)</f>
        <v>Python</v>
      </c>
      <c r="D27" s="21">
        <f>VLOOKUP($A27,学生基本信息!$A:$F,4,0)</f>
        <v>45892</v>
      </c>
      <c r="E27" s="4">
        <f>VLOOKUP($A27,学生基本信息!$A:$F,5,0)</f>
        <v>12</v>
      </c>
      <c r="F27" s="4">
        <f>VLOOKUP($A27,学生基本信息!$A:$F,6,0)</f>
        <v>1200</v>
      </c>
      <c r="G27" s="4">
        <f>VLOOKUP($A27,续费情况!$A:$W,13,0)+VLOOKUP($A27,续费情况!$A:$W,17,0)+VLOOKUP($A27,续费情况!$A:$W,21,0)</f>
        <v>1200</v>
      </c>
      <c r="H27" s="4" t="b">
        <f>VLOOKUP($A27,续费情况!$A:$W,11,0)</f>
        <v>1</v>
      </c>
      <c r="I27" s="4" t="str">
        <f>IF(VLOOKUP($A27,学生考级成绩!$A:$E,4,0)=0,"",VLOOKUP($A27,学生考级成绩!$A:$E,4,0))</f>
        <v/>
      </c>
      <c r="J27" s="4" t="str">
        <f>IF(VLOOKUP($A27,学生考级成绩!$A:$E,5,0)=0,"",VLOOKUP($A27,学生考级成绩!$A:$E,5,0))</f>
        <v>一级</v>
      </c>
      <c r="K27" s="4" t="str">
        <f>IF(VLOOKUP($A27,学生考级成绩!$A:$F,6,0)=0,"",VLOOKUP($A27,学生考级成绩!$A:$F,6,0))</f>
        <v/>
      </c>
      <c r="L27" s="4" t="str">
        <f>IF(VLOOKUP($A27,'2025全国青少年信息素养大赛'!$A:$H,5,0)="已报名","已参赛","未参赛")</f>
        <v>未参赛</v>
      </c>
      <c r="M27" s="4" t="str">
        <f>IF(VLOOKUP($A27,全国青少年人工智能创新挑战赛!$A:$H,5,0)="已报名","已参赛","未参赛")</f>
        <v>未参赛</v>
      </c>
      <c r="N27" s="4" t="str">
        <f t="shared" si="3"/>
        <v>潜力</v>
      </c>
      <c r="O27" s="4">
        <f t="shared" si="4"/>
        <v>2400</v>
      </c>
      <c r="P27" s="4">
        <f t="shared" si="5"/>
        <v>2025</v>
      </c>
      <c r="Q27" s="4">
        <f t="shared" si="6"/>
        <v>8</v>
      </c>
      <c r="R27" s="21">
        <f>VLOOKUP($A27,续费情况!$A:$X,10,0)</f>
        <v>45976</v>
      </c>
      <c r="S27" s="4">
        <f t="shared" si="7"/>
        <v>84</v>
      </c>
      <c r="T27" s="4">
        <f>COUNTIFS(续费情况!$A:$A,$A27,续费情况!$K:$K,TRUE)+COUNTIFS(续费情况!$A:$A,$A27,续费情况!$O:$O,TRUE)+COUNTIFS(续费情况!$A:$A,$A27,续费情况!$S:$S,TRUE)</f>
        <v>1</v>
      </c>
      <c r="U27" s="4">
        <f t="shared" si="8"/>
        <v>1200</v>
      </c>
      <c r="V27" s="26" t="str">
        <f t="shared" si="0"/>
        <v>是</v>
      </c>
      <c r="W27" s="4" t="str">
        <f t="shared" si="1"/>
        <v>否</v>
      </c>
      <c r="X27" s="4">
        <f t="shared" si="2"/>
        <v>2400</v>
      </c>
      <c r="Y27" s="4" t="str">
        <f t="shared" si="9"/>
        <v>低价值</v>
      </c>
      <c r="Z27" s="4" t="str">
        <f t="shared" si="10"/>
        <v>续费率达标</v>
      </c>
    </row>
    <row r="28" spans="1:26" x14ac:dyDescent="0.25">
      <c r="A28" s="4">
        <v>27</v>
      </c>
      <c r="B28" s="4" t="str">
        <f>VLOOKUP($A28,学生基本信息!$A:$F,2,0)</f>
        <v>苏一诺</v>
      </c>
      <c r="C28" s="4" t="str">
        <f>VLOOKUP($A28,学生基本信息!$A:$F,3,0)</f>
        <v>c++</v>
      </c>
      <c r="D28" s="21">
        <f>VLOOKUP($A28,学生基本信息!$A:$F,4,0)</f>
        <v>45898</v>
      </c>
      <c r="E28" s="4">
        <f>VLOOKUP($A28,学生基本信息!$A:$F,5,0)</f>
        <v>12</v>
      </c>
      <c r="F28" s="4">
        <f>VLOOKUP($A28,学生基本信息!$A:$F,6,0)</f>
        <v>1200</v>
      </c>
      <c r="G28" s="4">
        <f>VLOOKUP($A28,续费情况!$A:$W,13,0)+VLOOKUP($A28,续费情况!$A:$W,17,0)+VLOOKUP($A28,续费情况!$A:$W,21,0)</f>
        <v>1200</v>
      </c>
      <c r="H28" s="4" t="b">
        <f>VLOOKUP($A28,续费情况!$A:$W,11,0)</f>
        <v>1</v>
      </c>
      <c r="I28" s="4" t="str">
        <f>IF(VLOOKUP($A28,学生考级成绩!$A:$E,4,0)=0,"",VLOOKUP($A28,学生考级成绩!$A:$E,4,0))</f>
        <v/>
      </c>
      <c r="J28" s="4" t="str">
        <f>IF(VLOOKUP($A28,学生考级成绩!$A:$E,5,0)=0,"",VLOOKUP($A28,学生考级成绩!$A:$E,5,0))</f>
        <v/>
      </c>
      <c r="K28" s="4" t="str">
        <f>IF(VLOOKUP($A28,学生考级成绩!$A:$F,6,0)=0,"",VLOOKUP($A28,学生考级成绩!$A:$F,6,0))</f>
        <v>一级</v>
      </c>
      <c r="L28" s="4" t="str">
        <f>IF(VLOOKUP($A28,'2025全国青少年信息素养大赛'!$A:$H,5,0)="已报名","已参赛","未参赛")</f>
        <v>未参赛</v>
      </c>
      <c r="M28" s="4" t="str">
        <f>IF(VLOOKUP($A28,全国青少年人工智能创新挑战赛!$A:$H,5,0)="已报名","已参赛","未参赛")</f>
        <v>未参赛</v>
      </c>
      <c r="N28" s="4" t="str">
        <f t="shared" si="3"/>
        <v>潜力</v>
      </c>
      <c r="O28" s="4">
        <f t="shared" si="4"/>
        <v>2400</v>
      </c>
      <c r="P28" s="4">
        <f t="shared" si="5"/>
        <v>2025</v>
      </c>
      <c r="Q28" s="4">
        <f t="shared" si="6"/>
        <v>8</v>
      </c>
      <c r="R28" s="21">
        <f>VLOOKUP($A28,续费情况!$A:$X,10,0)</f>
        <v>45982</v>
      </c>
      <c r="S28" s="4">
        <f t="shared" si="7"/>
        <v>84</v>
      </c>
      <c r="T28" s="4">
        <f>COUNTIFS(续费情况!$A:$A,$A28,续费情况!$K:$K,TRUE)+COUNTIFS(续费情况!$A:$A,$A28,续费情况!$O:$O,TRUE)+COUNTIFS(续费情况!$A:$A,$A28,续费情况!$S:$S,TRUE)</f>
        <v>1</v>
      </c>
      <c r="U28" s="4">
        <f t="shared" si="8"/>
        <v>1200</v>
      </c>
      <c r="V28" s="26" t="str">
        <f t="shared" si="0"/>
        <v>是</v>
      </c>
      <c r="W28" s="4" t="str">
        <f t="shared" si="1"/>
        <v>否</v>
      </c>
      <c r="X28" s="4">
        <f t="shared" si="2"/>
        <v>2400</v>
      </c>
      <c r="Y28" s="4" t="str">
        <f t="shared" si="9"/>
        <v>低价值</v>
      </c>
      <c r="Z28" s="4" t="str">
        <f t="shared" si="10"/>
        <v>续费率达标</v>
      </c>
    </row>
    <row r="29" spans="1:26" x14ac:dyDescent="0.25">
      <c r="A29" s="4">
        <v>28</v>
      </c>
      <c r="B29" s="4" t="str">
        <f>VLOOKUP($A29,学生基本信息!$A:$F,2,0)</f>
        <v>韩沐阳</v>
      </c>
      <c r="C29" s="4" t="str">
        <f>VLOOKUP($A29,学生基本信息!$A:$F,3,0)</f>
        <v>Python</v>
      </c>
      <c r="D29" s="21">
        <f>VLOOKUP($A29,学生基本信息!$A:$F,4,0)</f>
        <v>45907</v>
      </c>
      <c r="E29" s="4">
        <f>VLOOKUP($A29,学生基本信息!$A:$F,5,0)</f>
        <v>24</v>
      </c>
      <c r="F29" s="4">
        <f>VLOOKUP($A29,学生基本信息!$A:$F,6,0)</f>
        <v>2400</v>
      </c>
      <c r="G29" s="4">
        <f>VLOOKUP($A29,续费情况!$A:$W,13,0)+VLOOKUP($A29,续费情况!$A:$W,17,0)+VLOOKUP($A29,续费情况!$A:$W,21,0)</f>
        <v>0</v>
      </c>
      <c r="H29" s="4" t="b">
        <f>VLOOKUP($A29,续费情况!$A:$W,11,0)</f>
        <v>0</v>
      </c>
      <c r="I29" s="4" t="str">
        <f>IF(VLOOKUP($A29,学生考级成绩!$A:$E,4,0)=0,"",VLOOKUP($A29,学生考级成绩!$A:$E,4,0))</f>
        <v/>
      </c>
      <c r="J29" s="4" t="str">
        <f>IF(VLOOKUP($A29,学生考级成绩!$A:$E,5,0)=0,"",VLOOKUP($A29,学生考级成绩!$A:$E,5,0))</f>
        <v>二级</v>
      </c>
      <c r="K29" s="4" t="str">
        <f>IF(VLOOKUP($A29,学生考级成绩!$A:$F,6,0)=0,"",VLOOKUP($A29,学生考级成绩!$A:$F,6,0))</f>
        <v/>
      </c>
      <c r="L29" s="4" t="str">
        <f>IF(VLOOKUP($A29,'2025全国青少年信息素养大赛'!$A:$H,5,0)="已报名","已参赛","未参赛")</f>
        <v>未参赛</v>
      </c>
      <c r="M29" s="4" t="str">
        <f>IF(VLOOKUP($A29,全国青少年人工智能创新挑战赛!$A:$H,5,0)="已报名","已参赛","未参赛")</f>
        <v>未参赛</v>
      </c>
      <c r="N29" s="4" t="str">
        <f t="shared" si="3"/>
        <v>潜力</v>
      </c>
      <c r="O29" s="4">
        <f t="shared" si="4"/>
        <v>2400</v>
      </c>
      <c r="P29" s="4">
        <f t="shared" si="5"/>
        <v>2025</v>
      </c>
      <c r="Q29" s="4">
        <f t="shared" si="6"/>
        <v>9</v>
      </c>
      <c r="R29" s="21">
        <f>VLOOKUP($A29,续费情况!$A:$X,10,0)</f>
        <v>46075</v>
      </c>
      <c r="S29" s="4">
        <f t="shared" si="7"/>
        <v>168</v>
      </c>
      <c r="T29" s="4">
        <f>COUNTIFS(续费情况!$A:$A,$A29,续费情况!$K:$K,TRUE)+COUNTIFS(续费情况!$A:$A,$A29,续费情况!$O:$O,TRUE)+COUNTIFS(续费情况!$A:$A,$A29,续费情况!$S:$S,TRUE)</f>
        <v>0</v>
      </c>
      <c r="U29" s="4">
        <f t="shared" si="8"/>
        <v>0</v>
      </c>
      <c r="V29" s="26" t="str">
        <f t="shared" si="0"/>
        <v>是</v>
      </c>
      <c r="W29" s="4" t="str">
        <f t="shared" si="1"/>
        <v>否</v>
      </c>
      <c r="X29" s="4">
        <f t="shared" si="2"/>
        <v>2400</v>
      </c>
      <c r="Y29" s="4" t="str">
        <f t="shared" si="9"/>
        <v>低价值</v>
      </c>
      <c r="Z29" s="4" t="str">
        <f t="shared" si="10"/>
        <v>未达标</v>
      </c>
    </row>
    <row r="30" spans="1:26" x14ac:dyDescent="0.25">
      <c r="A30" s="4">
        <v>29</v>
      </c>
      <c r="B30" s="4" t="str">
        <f>VLOOKUP($A30,学生基本信息!$A:$F,2,0)</f>
        <v>曹硕霖</v>
      </c>
      <c r="C30" s="4" t="str">
        <f>VLOOKUP($A30,学生基本信息!$A:$F,3,0)</f>
        <v>scratch</v>
      </c>
      <c r="D30" s="21">
        <f>VLOOKUP($A30,学生基本信息!$A:$F,4,0)</f>
        <v>45903</v>
      </c>
      <c r="E30" s="4">
        <f>VLOOKUP($A30,学生基本信息!$A:$F,5,0)</f>
        <v>12</v>
      </c>
      <c r="F30" s="4">
        <f>VLOOKUP($A30,学生基本信息!$A:$F,6,0)</f>
        <v>1200</v>
      </c>
      <c r="G30" s="4">
        <f>VLOOKUP($A30,续费情况!$A:$W,13,0)+VLOOKUP($A30,续费情况!$A:$W,17,0)+VLOOKUP($A30,续费情况!$A:$W,21,0)</f>
        <v>1200</v>
      </c>
      <c r="H30" s="4" t="b">
        <f>VLOOKUP($A30,续费情况!$A:$W,11,0)</f>
        <v>1</v>
      </c>
      <c r="I30" s="4" t="str">
        <f>IF(VLOOKUP($A30,学生考级成绩!$A:$E,4,0)=0,"",VLOOKUP($A30,学生考级成绩!$A:$E,4,0))</f>
        <v>一级</v>
      </c>
      <c r="J30" s="4" t="str">
        <f>IF(VLOOKUP($A30,学生考级成绩!$A:$E,5,0)=0,"",VLOOKUP($A30,学生考级成绩!$A:$E,5,0))</f>
        <v/>
      </c>
      <c r="K30" s="4" t="str">
        <f>IF(VLOOKUP($A30,学生考级成绩!$A:$F,6,0)=0,"",VLOOKUP($A30,学生考级成绩!$A:$F,6,0))</f>
        <v/>
      </c>
      <c r="L30" s="4" t="str">
        <f>IF(VLOOKUP($A30,'2025全国青少年信息素养大赛'!$A:$H,5,0)="已报名","已参赛","未参赛")</f>
        <v>未参赛</v>
      </c>
      <c r="M30" s="4" t="str">
        <f>IF(VLOOKUP($A30,全国青少年人工智能创新挑战赛!$A:$H,5,0)="已报名","已参赛","未参赛")</f>
        <v>未参赛</v>
      </c>
      <c r="N30" s="4" t="str">
        <f t="shared" si="3"/>
        <v>潜力</v>
      </c>
      <c r="O30" s="4">
        <f t="shared" si="4"/>
        <v>2400</v>
      </c>
      <c r="P30" s="4">
        <f t="shared" si="5"/>
        <v>2025</v>
      </c>
      <c r="Q30" s="4">
        <f t="shared" si="6"/>
        <v>9</v>
      </c>
      <c r="R30" s="21">
        <f>VLOOKUP($A30,续费情况!$A:$X,10,0)</f>
        <v>45987</v>
      </c>
      <c r="S30" s="4">
        <f t="shared" si="7"/>
        <v>84</v>
      </c>
      <c r="T30" s="4">
        <f>COUNTIFS(续费情况!$A:$A,$A30,续费情况!$K:$K,TRUE)+COUNTIFS(续费情况!$A:$A,$A30,续费情况!$O:$O,TRUE)+COUNTIFS(续费情况!$A:$A,$A30,续费情况!$S:$S,TRUE)</f>
        <v>1</v>
      </c>
      <c r="U30" s="4">
        <f t="shared" si="8"/>
        <v>1200</v>
      </c>
      <c r="V30" s="26" t="str">
        <f t="shared" si="0"/>
        <v>是</v>
      </c>
      <c r="W30" s="4" t="str">
        <f t="shared" si="1"/>
        <v>否</v>
      </c>
      <c r="X30" s="4">
        <f t="shared" si="2"/>
        <v>2400</v>
      </c>
      <c r="Y30" s="4" t="str">
        <f t="shared" si="9"/>
        <v>低价值</v>
      </c>
      <c r="Z30" s="4" t="str">
        <f t="shared" si="10"/>
        <v>续费率达标</v>
      </c>
    </row>
    <row r="31" spans="1:26" x14ac:dyDescent="0.25">
      <c r="A31" s="4">
        <v>30</v>
      </c>
      <c r="B31" s="4" t="str">
        <f>VLOOKUP($A31,学生基本信息!$A:$F,2,0)</f>
        <v>叶静怡</v>
      </c>
      <c r="C31" s="4" t="str">
        <f>VLOOKUP($A31,学生基本信息!$A:$F,3,0)</f>
        <v>scratch</v>
      </c>
      <c r="D31" s="21">
        <f>VLOOKUP($A31,学生基本信息!$A:$F,4,0)</f>
        <v>45911</v>
      </c>
      <c r="E31" s="4">
        <f>VLOOKUP($A31,学生基本信息!$A:$F,5,0)</f>
        <v>12</v>
      </c>
      <c r="F31" s="4">
        <f>VLOOKUP($A31,学生基本信息!$A:$F,6,0)</f>
        <v>1200</v>
      </c>
      <c r="G31" s="4">
        <f>VLOOKUP($A31,续费情况!$A:$W,13,0)+VLOOKUP($A31,续费情况!$A:$W,17,0)+VLOOKUP($A31,续费情况!$A:$W,21,0)</f>
        <v>1200</v>
      </c>
      <c r="H31" s="4" t="b">
        <f>VLOOKUP($A31,续费情况!$A:$W,11,0)</f>
        <v>1</v>
      </c>
      <c r="I31" s="4" t="str">
        <f>IF(VLOOKUP($A31,学生考级成绩!$A:$E,4,0)=0,"",VLOOKUP($A31,学生考级成绩!$A:$E,4,0))</f>
        <v>一级</v>
      </c>
      <c r="J31" s="4" t="str">
        <f>IF(VLOOKUP($A31,学生考级成绩!$A:$E,5,0)=0,"",VLOOKUP($A31,学生考级成绩!$A:$E,5,0))</f>
        <v/>
      </c>
      <c r="K31" s="4" t="str">
        <f>IF(VLOOKUP($A31,学生考级成绩!$A:$F,6,0)=0,"",VLOOKUP($A31,学生考级成绩!$A:$F,6,0))</f>
        <v/>
      </c>
      <c r="L31" s="4" t="str">
        <f>IF(VLOOKUP($A31,'2025全国青少年信息素养大赛'!$A:$H,5,0)="已报名","已参赛","未参赛")</f>
        <v>未参赛</v>
      </c>
      <c r="M31" s="4" t="str">
        <f>IF(VLOOKUP($A31,全国青少年人工智能创新挑战赛!$A:$H,5,0)="已报名","已参赛","未参赛")</f>
        <v>未参赛</v>
      </c>
      <c r="N31" s="4" t="str">
        <f t="shared" si="3"/>
        <v>潜力</v>
      </c>
      <c r="O31" s="4">
        <f t="shared" si="4"/>
        <v>2400</v>
      </c>
      <c r="P31" s="4">
        <f t="shared" si="5"/>
        <v>2025</v>
      </c>
      <c r="Q31" s="4">
        <f t="shared" si="6"/>
        <v>9</v>
      </c>
      <c r="R31" s="21">
        <f>VLOOKUP($A31,续费情况!$A:$X,10,0)</f>
        <v>45995</v>
      </c>
      <c r="S31" s="4">
        <f t="shared" si="7"/>
        <v>84</v>
      </c>
      <c r="T31" s="4">
        <f>COUNTIFS(续费情况!$A:$A,$A31,续费情况!$K:$K,TRUE)+COUNTIFS(续费情况!$A:$A,$A31,续费情况!$O:$O,TRUE)+COUNTIFS(续费情况!$A:$A,$A31,续费情况!$S:$S,TRUE)</f>
        <v>1</v>
      </c>
      <c r="U31" s="4">
        <f t="shared" si="8"/>
        <v>1200</v>
      </c>
      <c r="V31" s="26" t="str">
        <f t="shared" si="0"/>
        <v>是</v>
      </c>
      <c r="W31" s="4" t="str">
        <f t="shared" si="1"/>
        <v>否</v>
      </c>
      <c r="X31" s="4">
        <f t="shared" si="2"/>
        <v>2400</v>
      </c>
      <c r="Y31" s="4" t="str">
        <f t="shared" si="9"/>
        <v>低价值</v>
      </c>
      <c r="Z31" s="4" t="str">
        <f t="shared" si="10"/>
        <v>续费率达标</v>
      </c>
    </row>
    <row r="32" spans="1:26" x14ac:dyDescent="0.25">
      <c r="A32" s="4">
        <v>31</v>
      </c>
      <c r="B32" s="4" t="str">
        <f>VLOOKUP($A32,学生基本信息!$A:$F,2,0)</f>
        <v>陶沐汐</v>
      </c>
      <c r="C32" s="4" t="str">
        <f>VLOOKUP($A32,学生基本信息!$A:$F,3,0)</f>
        <v>scratch</v>
      </c>
      <c r="D32" s="21">
        <f>VLOOKUP($A32,学生基本信息!$A:$F,4,0)</f>
        <v>45930</v>
      </c>
      <c r="E32" s="4">
        <f>VLOOKUP($A32,学生基本信息!$A:$F,5,0)</f>
        <v>12</v>
      </c>
      <c r="F32" s="4">
        <f>VLOOKUP($A32,学生基本信息!$A:$F,6,0)</f>
        <v>1200</v>
      </c>
      <c r="G32" s="4">
        <f>VLOOKUP($A32,续费情况!$A:$W,13,0)+VLOOKUP($A32,续费情况!$A:$W,17,0)+VLOOKUP($A32,续费情况!$A:$W,21,0)</f>
        <v>1200</v>
      </c>
      <c r="H32" s="4" t="b">
        <f>VLOOKUP($A32,续费情况!$A:$W,11,0)</f>
        <v>1</v>
      </c>
      <c r="I32" s="4" t="str">
        <f>IF(VLOOKUP($A32,学生考级成绩!$A:$E,4,0)=0,"",VLOOKUP($A32,学生考级成绩!$A:$E,4,0))</f>
        <v>一级</v>
      </c>
      <c r="J32" s="4" t="str">
        <f>IF(VLOOKUP($A32,学生考级成绩!$A:$E,5,0)=0,"",VLOOKUP($A32,学生考级成绩!$A:$E,5,0))</f>
        <v/>
      </c>
      <c r="K32" s="4" t="str">
        <f>IF(VLOOKUP($A32,学生考级成绩!$A:$F,6,0)=0,"",VLOOKUP($A32,学生考级成绩!$A:$F,6,0))</f>
        <v/>
      </c>
      <c r="L32" s="4" t="str">
        <f>IF(VLOOKUP($A32,'2025全国青少年信息素养大赛'!$A:$H,5,0)="已报名","已参赛","未参赛")</f>
        <v>未参赛</v>
      </c>
      <c r="M32" s="4" t="str">
        <f>IF(VLOOKUP($A32,全国青少年人工智能创新挑战赛!$A:$H,5,0)="已报名","已参赛","未参赛")</f>
        <v>未参赛</v>
      </c>
      <c r="N32" s="4" t="str">
        <f t="shared" si="3"/>
        <v>潜力</v>
      </c>
      <c r="O32" s="4">
        <f t="shared" si="4"/>
        <v>2400</v>
      </c>
      <c r="P32" s="4">
        <f t="shared" si="5"/>
        <v>2025</v>
      </c>
      <c r="Q32" s="4">
        <f t="shared" si="6"/>
        <v>9</v>
      </c>
      <c r="R32" s="21">
        <f>VLOOKUP($A32,续费情况!$A:$X,10,0)</f>
        <v>46014</v>
      </c>
      <c r="S32" s="4">
        <f t="shared" si="7"/>
        <v>84</v>
      </c>
      <c r="T32" s="4">
        <f>COUNTIFS(续费情况!$A:$A,$A32,续费情况!$K:$K,TRUE)+COUNTIFS(续费情况!$A:$A,$A32,续费情况!$O:$O,TRUE)+COUNTIFS(续费情况!$A:$A,$A32,续费情况!$S:$S,TRUE)</f>
        <v>1</v>
      </c>
      <c r="U32" s="4">
        <f t="shared" si="8"/>
        <v>1200</v>
      </c>
      <c r="V32" s="26" t="str">
        <f t="shared" si="0"/>
        <v>是</v>
      </c>
      <c r="W32" s="4" t="str">
        <f t="shared" si="1"/>
        <v>否</v>
      </c>
      <c r="X32" s="4">
        <f t="shared" si="2"/>
        <v>2400</v>
      </c>
      <c r="Y32" s="4" t="str">
        <f t="shared" si="9"/>
        <v>低价值</v>
      </c>
      <c r="Z32" s="4" t="str">
        <f t="shared" si="10"/>
        <v>续费率达标</v>
      </c>
    </row>
    <row r="33" spans="1:26" x14ac:dyDescent="0.25">
      <c r="A33" s="4">
        <v>32</v>
      </c>
      <c r="B33" s="4" t="str">
        <f>VLOOKUP($A33,学生基本信息!$A:$F,2,0)</f>
        <v>邓崇安</v>
      </c>
      <c r="C33" s="4" t="str">
        <f>VLOOKUP($A33,学生基本信息!$A:$F,3,0)</f>
        <v>scratch</v>
      </c>
      <c r="D33" s="21">
        <f>VLOOKUP($A33,学生基本信息!$A:$F,4,0)</f>
        <v>45932</v>
      </c>
      <c r="E33" s="4">
        <f>VLOOKUP($A33,学生基本信息!$A:$F,5,0)</f>
        <v>12</v>
      </c>
      <c r="F33" s="4">
        <f>VLOOKUP($A33,学生基本信息!$A:$F,6,0)</f>
        <v>1200</v>
      </c>
      <c r="G33" s="4">
        <f>VLOOKUP($A33,续费情况!$A:$W,13,0)+VLOOKUP($A33,续费情况!$A:$W,17,0)+VLOOKUP($A33,续费情况!$A:$W,21,0)</f>
        <v>1200</v>
      </c>
      <c r="H33" s="4" t="b">
        <f>VLOOKUP($A33,续费情况!$A:$W,11,0)</f>
        <v>1</v>
      </c>
      <c r="I33" s="4" t="str">
        <f>IF(VLOOKUP($A33,学生考级成绩!$A:$E,4,0)=0,"",VLOOKUP($A33,学生考级成绩!$A:$E,4,0))</f>
        <v/>
      </c>
      <c r="J33" s="4" t="str">
        <f>IF(VLOOKUP($A33,学生考级成绩!$A:$E,5,0)=0,"",VLOOKUP($A33,学生考级成绩!$A:$E,5,0))</f>
        <v/>
      </c>
      <c r="K33" s="4" t="str">
        <f>IF(VLOOKUP($A33,学生考级成绩!$A:$F,6,0)=0,"",VLOOKUP($A33,学生考级成绩!$A:$F,6,0))</f>
        <v/>
      </c>
      <c r="L33" s="4" t="str">
        <f>IF(VLOOKUP($A33,'2025全国青少年信息素养大赛'!$A:$H,5,0)="已报名","已参赛","未参赛")</f>
        <v>未参赛</v>
      </c>
      <c r="M33" s="4" t="str">
        <f>IF(VLOOKUP($A33,全国青少年人工智能创新挑战赛!$A:$H,5,0)="已报名","已参赛","未参赛")</f>
        <v>未参赛</v>
      </c>
      <c r="N33" s="4" t="str">
        <f t="shared" si="3"/>
        <v>待推荐</v>
      </c>
      <c r="O33" s="4">
        <f t="shared" si="4"/>
        <v>2400</v>
      </c>
      <c r="P33" s="4">
        <f t="shared" si="5"/>
        <v>2025</v>
      </c>
      <c r="Q33" s="4">
        <f t="shared" si="6"/>
        <v>10</v>
      </c>
      <c r="R33" s="21">
        <f>VLOOKUP($A33,续费情况!$A:$X,10,0)</f>
        <v>46016</v>
      </c>
      <c r="S33" s="4">
        <f t="shared" si="7"/>
        <v>84</v>
      </c>
      <c r="T33" s="4">
        <f>COUNTIFS(续费情况!$A:$A,$A33,续费情况!$K:$K,TRUE)+COUNTIFS(续费情况!$A:$A,$A33,续费情况!$O:$O,TRUE)+COUNTIFS(续费情况!$A:$A,$A33,续费情况!$S:$S,TRUE)</f>
        <v>1</v>
      </c>
      <c r="U33" s="4">
        <f t="shared" si="8"/>
        <v>1200</v>
      </c>
      <c r="V33" s="26" t="str">
        <f t="shared" si="0"/>
        <v>否</v>
      </c>
      <c r="W33" s="4" t="str">
        <f t="shared" si="1"/>
        <v>否</v>
      </c>
      <c r="X33" s="4">
        <f t="shared" si="2"/>
        <v>2400</v>
      </c>
      <c r="Y33" s="4" t="str">
        <f t="shared" si="9"/>
        <v>低价值</v>
      </c>
      <c r="Z33" s="4" t="str">
        <f t="shared" si="10"/>
        <v>续费率达标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9E756-CB8B-4062-A8EF-CE4F2F5675CC}">
  <dimension ref="A1:U18"/>
  <sheetViews>
    <sheetView tabSelected="1" workbookViewId="0">
      <selection activeCell="K17" sqref="K17"/>
    </sheetView>
  </sheetViews>
  <sheetFormatPr defaultRowHeight="13.8" x14ac:dyDescent="0.25"/>
  <cols>
    <col min="3" max="3" width="10.33203125" customWidth="1"/>
    <col min="4" max="4" width="13" customWidth="1"/>
    <col min="5" max="5" width="14" customWidth="1"/>
    <col min="6" max="6" width="11.5546875" customWidth="1"/>
    <col min="7" max="7" width="12.21875" customWidth="1"/>
    <col min="8" max="8" width="13.109375" customWidth="1"/>
  </cols>
  <sheetData>
    <row r="1" spans="1:21" x14ac:dyDescent="0.25">
      <c r="A1" s="20" t="s">
        <v>140</v>
      </c>
      <c r="B1" s="20" t="s">
        <v>141</v>
      </c>
      <c r="C1" s="20" t="s">
        <v>142</v>
      </c>
      <c r="D1" s="20" t="s">
        <v>143</v>
      </c>
      <c r="E1" s="20" t="s">
        <v>148</v>
      </c>
      <c r="F1" s="20" t="s">
        <v>133</v>
      </c>
      <c r="G1" s="20" t="s">
        <v>149</v>
      </c>
      <c r="H1" s="20" t="s">
        <v>150</v>
      </c>
      <c r="P1" s="28" t="s">
        <v>151</v>
      </c>
      <c r="Q1" s="28"/>
      <c r="R1" s="28"/>
      <c r="S1" s="28"/>
      <c r="T1" s="28"/>
      <c r="U1" s="28"/>
    </row>
    <row r="2" spans="1:21" x14ac:dyDescent="0.25">
      <c r="A2">
        <v>2025</v>
      </c>
      <c r="B2">
        <v>1</v>
      </c>
      <c r="C2" t="str">
        <f>A2&amp;"年"&amp;B2&amp;"月"</f>
        <v>2025年1月</v>
      </c>
      <c r="D2">
        <f>SUMIFS(全学员总表!$F:$F, 全学员总表!$P:$P,$A2, 全学员总表!$Q:$Q,$B2)</f>
        <v>4800</v>
      </c>
      <c r="E2">
        <f>SUM(
  SUMIFS(续费情况!$M:$M, 续费情况!$J:$J,"&gt;="&amp;DATE($A2,$B2,1), 续费情况!$J:$J,"&lt;="&amp;EOMONTH(DATE($A2,$B2,1),0)),
  SUMIFS(续费情况!$Q:$Q, 续费情况!$N:$N,"&gt;="&amp;DATE($A2,$B2,1), 续费情况!$N:$N,"&lt;="&amp;EOMONTH(DATE($A2,$B2,1),0)),
  SUMIFS(续费情况!$U:$U, 续费情况!$R:$R,"&gt;="&amp;DATE($A2,$B2,1), 续费情况!$R:$R,"&lt;="&amp;EOMONTH(DATE($A2,$B2,1),0))
)</f>
        <v>0</v>
      </c>
      <c r="F2">
        <f>D2+E2</f>
        <v>4800</v>
      </c>
      <c r="G2" s="15" t="str" cm="1">
        <f t="array" ref="G2">IFERROR((F2-INDEX($F:$F,MATCH($A2-1&amp;$B2,$A:$A&amp;$B:$B,0)))/INDEX($F:$F,MATCH($A2-1&amp;$B2,$A:$A&amp;$B:$B,0)),"")</f>
        <v/>
      </c>
      <c r="H2" s="15"/>
      <c r="P2" s="28"/>
      <c r="Q2" s="28"/>
      <c r="R2" s="28"/>
      <c r="S2" s="28"/>
      <c r="T2" s="28"/>
      <c r="U2" s="28"/>
    </row>
    <row r="3" spans="1:21" x14ac:dyDescent="0.25">
      <c r="A3">
        <v>2025</v>
      </c>
      <c r="B3">
        <v>2</v>
      </c>
      <c r="C3" t="str">
        <f t="shared" ref="C3:C18" si="0">A3&amp;"年"&amp;B3&amp;"月"</f>
        <v>2025年2月</v>
      </c>
      <c r="D3">
        <f>SUMIFS(全学员总表!$F:$F, 全学员总表!$P:$P,$A3, 全学员总表!$Q:$Q,$B3)</f>
        <v>5200</v>
      </c>
      <c r="E3">
        <f>SUM(
  SUMIFS(续费情况!$M:$M, 续费情况!$J:$J,"&gt;="&amp;DATE($A3,$B3,1), 续费情况!$J:$J,"&lt;="&amp;EOMONTH(DATE($A3,$B3,1),0)),
  SUMIFS(续费情况!$Q:$Q, 续费情况!$N:$N,"&gt;="&amp;DATE($A3,$B3,1), 续费情况!$N:$N,"&lt;="&amp;EOMONTH(DATE($A3,$B3,1),0)),
  SUMIFS(续费情况!$U:$U, 续费情况!$R:$R,"&gt;="&amp;DATE($A3,$B3,1), 续费情况!$R:$R,"&lt;="&amp;EOMONTH(DATE($A3,$B3,1),0))
)</f>
        <v>0</v>
      </c>
      <c r="F3">
        <f t="shared" ref="F3:F18" si="1">D3+E3</f>
        <v>5200</v>
      </c>
      <c r="G3" s="15" t="str" cm="1">
        <f t="array" ref="G3">IFERROR((F3-INDEX($F:$F,MATCH($A3-1&amp;$B3,$A:$A&amp;$B:$B,0)))/INDEX($F:$F,MATCH($A3-1&amp;$B3,$A:$A&amp;$B:$B,0)),"")</f>
        <v/>
      </c>
      <c r="H3" s="15">
        <f t="shared" ref="H3:H15" si="2">IF(A4=A3,(F4-F3)/F3,"")</f>
        <v>-0.30769230769230771</v>
      </c>
      <c r="P3" s="28"/>
      <c r="Q3" s="28"/>
      <c r="R3" s="28"/>
      <c r="S3" s="28"/>
      <c r="T3" s="28"/>
      <c r="U3" s="28"/>
    </row>
    <row r="4" spans="1:21" x14ac:dyDescent="0.25">
      <c r="A4">
        <v>2025</v>
      </c>
      <c r="B4">
        <v>3</v>
      </c>
      <c r="C4" t="str">
        <f t="shared" si="0"/>
        <v>2025年3月</v>
      </c>
      <c r="D4">
        <f>SUMIFS(全学员总表!$F:$F, 全学员总表!$P:$P,$A4, 全学员总表!$Q:$Q,$B4)</f>
        <v>3600</v>
      </c>
      <c r="E4">
        <f>SUM(
  SUMIFS(续费情况!$M:$M, 续费情况!$J:$J,"&gt;="&amp;DATE($A4,$B4,1), 续费情况!$J:$J,"&lt;="&amp;EOMONTH(DATE($A4,$B4,1),0)),
  SUMIFS(续费情况!$Q:$Q, 续费情况!$N:$N,"&gt;="&amp;DATE($A4,$B4,1), 续费情况!$N:$N,"&lt;="&amp;EOMONTH(DATE($A4,$B4,1),0)),
  SUMIFS(续费情况!$U:$U, 续费情况!$R:$R,"&gt;="&amp;DATE($A4,$B4,1), 续费情况!$R:$R,"&lt;="&amp;EOMONTH(DATE($A4,$B4,1),0))
)</f>
        <v>0</v>
      </c>
      <c r="F4">
        <f t="shared" si="1"/>
        <v>3600</v>
      </c>
      <c r="G4" s="15" t="str" cm="1">
        <f t="array" ref="G4">IFERROR((F4-INDEX($F:$F,MATCH($A4-1&amp;$B4,$A:$A&amp;$B:$B,0)))/INDEX($F:$F,MATCH($A4-1&amp;$B4,$A:$A&amp;$B:$B,0)),"")</f>
        <v/>
      </c>
      <c r="H4" s="15">
        <f t="shared" si="2"/>
        <v>0</v>
      </c>
      <c r="P4" s="28"/>
      <c r="Q4" s="28"/>
      <c r="R4" s="28"/>
      <c r="S4" s="28"/>
      <c r="T4" s="28"/>
      <c r="U4" s="28"/>
    </row>
    <row r="5" spans="1:21" x14ac:dyDescent="0.25">
      <c r="A5">
        <v>2025</v>
      </c>
      <c r="B5">
        <v>4</v>
      </c>
      <c r="C5" t="str">
        <f t="shared" si="0"/>
        <v>2025年4月</v>
      </c>
      <c r="D5">
        <f>SUMIFS(全学员总表!$F:$F, 全学员总表!$P:$P,$A5, 全学员总表!$Q:$Q,$B5)</f>
        <v>1200</v>
      </c>
      <c r="E5">
        <f>SUM(
  SUMIFS(续费情况!$M:$M, 续费情况!$J:$J,"&gt;="&amp;DATE($A5,$B5,1), 续费情况!$J:$J,"&lt;="&amp;EOMONTH(DATE($A5,$B5,1),0)),
  SUMIFS(续费情况!$Q:$Q, 续费情况!$N:$N,"&gt;="&amp;DATE($A5,$B5,1), 续费情况!$N:$N,"&lt;="&amp;EOMONTH(DATE($A5,$B5,1),0)),
  SUMIFS(续费情况!$U:$U, 续费情况!$R:$R,"&gt;="&amp;DATE($A5,$B5,1), 续费情况!$R:$R,"&lt;="&amp;EOMONTH(DATE($A5,$B5,1),0))
)</f>
        <v>2400</v>
      </c>
      <c r="F5">
        <f t="shared" si="1"/>
        <v>3600</v>
      </c>
      <c r="G5" s="15" t="str" cm="1">
        <f t="array" ref="G5">IFERROR((F5-INDEX($F:$F,MATCH($A5-1&amp;$B5,$A:$A&amp;$B:$B,0)))/INDEX($F:$F,MATCH($A5-1&amp;$B5,$A:$A&amp;$B:$B,0)),"")</f>
        <v/>
      </c>
      <c r="H5" s="15">
        <f t="shared" si="2"/>
        <v>0</v>
      </c>
      <c r="P5" s="28"/>
      <c r="Q5" s="28"/>
      <c r="R5" s="28"/>
      <c r="S5" s="28"/>
      <c r="T5" s="28"/>
      <c r="U5" s="28"/>
    </row>
    <row r="6" spans="1:21" x14ac:dyDescent="0.25">
      <c r="A6">
        <v>2025</v>
      </c>
      <c r="B6">
        <v>5</v>
      </c>
      <c r="C6" t="str">
        <f t="shared" si="0"/>
        <v>2025年5月</v>
      </c>
      <c r="D6">
        <f>SUMIFS(全学员总表!$F:$F, 全学员总表!$P:$P,$A6, 全学员总表!$Q:$Q,$B6)</f>
        <v>2400</v>
      </c>
      <c r="E6">
        <f>SUM(
  SUMIFS(续费情况!$M:$M, 续费情况!$J:$J,"&gt;="&amp;DATE($A6,$B6,1), 续费情况!$J:$J,"&lt;="&amp;EOMONTH(DATE($A6,$B6,1),0)),
  SUMIFS(续费情况!$Q:$Q, 续费情况!$N:$N,"&gt;="&amp;DATE($A6,$B6,1), 续费情况!$N:$N,"&lt;="&amp;EOMONTH(DATE($A6,$B6,1),0)),
  SUMIFS(续费情况!$U:$U, 续费情况!$R:$R,"&gt;="&amp;DATE($A6,$B6,1), 续费情况!$R:$R,"&lt;="&amp;EOMONTH(DATE($A6,$B6,1),0))
)</f>
        <v>1200</v>
      </c>
      <c r="F6">
        <f t="shared" si="1"/>
        <v>3600</v>
      </c>
      <c r="G6" s="15" t="str" cm="1">
        <f t="array" ref="G6">IFERROR((F6-INDEX($F:$F,MATCH($A6-1&amp;$B6,$A:$A&amp;$B:$B,0)))/INDEX($F:$F,MATCH($A6-1&amp;$B6,$A:$A&amp;$B:$B,0)),"")</f>
        <v/>
      </c>
      <c r="H6" s="15">
        <f t="shared" si="2"/>
        <v>2.1666666666666665</v>
      </c>
      <c r="P6" s="28"/>
      <c r="Q6" s="28"/>
      <c r="R6" s="28"/>
      <c r="S6" s="28"/>
      <c r="T6" s="28"/>
      <c r="U6" s="28"/>
    </row>
    <row r="7" spans="1:21" x14ac:dyDescent="0.25">
      <c r="A7">
        <v>2025</v>
      </c>
      <c r="B7">
        <v>6</v>
      </c>
      <c r="C7" t="str">
        <f t="shared" si="0"/>
        <v>2025年6月</v>
      </c>
      <c r="D7">
        <f>SUMIFS(全学员总表!$F:$F, 全学员总表!$P:$P,$A7, 全学员总表!$Q:$Q,$B7)</f>
        <v>6600</v>
      </c>
      <c r="E7">
        <f>SUM(
  SUMIFS(续费情况!$M:$M, 续费情况!$J:$J,"&gt;="&amp;DATE($A7,$B7,1), 续费情况!$J:$J,"&lt;="&amp;EOMONTH(DATE($A7,$B7,1),0)),
  SUMIFS(续费情况!$Q:$Q, 续费情况!$N:$N,"&gt;="&amp;DATE($A7,$B7,1), 续费情况!$N:$N,"&lt;="&amp;EOMONTH(DATE($A7,$B7,1),0)),
  SUMIFS(续费情况!$U:$U, 续费情况!$R:$R,"&gt;="&amp;DATE($A7,$B7,1), 续费情况!$R:$R,"&lt;="&amp;EOMONTH(DATE($A7,$B7,1),0))
)</f>
        <v>4800</v>
      </c>
      <c r="F7">
        <f t="shared" si="1"/>
        <v>11400</v>
      </c>
      <c r="G7" s="15" t="str" cm="1">
        <f t="array" ref="G7">IFERROR((F7-INDEX($F:$F,MATCH($A7-1&amp;$B7,$A:$A&amp;$B:$B,0)))/INDEX($F:$F,MATCH($A7-1&amp;$B7,$A:$A&amp;$B:$B,0)),"")</f>
        <v/>
      </c>
      <c r="H7" s="15">
        <f t="shared" si="2"/>
        <v>0.47368421052631576</v>
      </c>
      <c r="P7" s="28"/>
      <c r="Q7" s="28"/>
      <c r="R7" s="28"/>
      <c r="S7" s="28"/>
      <c r="T7" s="28"/>
      <c r="U7" s="28"/>
    </row>
    <row r="8" spans="1:21" x14ac:dyDescent="0.25">
      <c r="A8">
        <v>2025</v>
      </c>
      <c r="B8">
        <v>7</v>
      </c>
      <c r="C8" t="str">
        <f t="shared" si="0"/>
        <v>2025年7月</v>
      </c>
      <c r="D8">
        <f>SUMIFS(全学员总表!$F:$F, 全学员总表!$P:$P,$A8, 全学员总表!$Q:$Q,$B8)</f>
        <v>10800</v>
      </c>
      <c r="E8">
        <f>SUM(
  SUMIFS(续费情况!$M:$M, 续费情况!$J:$J,"&gt;="&amp;DATE($A8,$B8,1), 续费情况!$J:$J,"&lt;="&amp;EOMONTH(DATE($A8,$B8,1),0)),
  SUMIFS(续费情况!$Q:$Q, 续费情况!$N:$N,"&gt;="&amp;DATE($A8,$B8,1), 续费情况!$N:$N,"&lt;="&amp;EOMONTH(DATE($A8,$B8,1),0)),
  SUMIFS(续费情况!$U:$U, 续费情况!$R:$R,"&gt;="&amp;DATE($A8,$B8,1), 续费情况!$R:$R,"&lt;="&amp;EOMONTH(DATE($A8,$B8,1),0))
)</f>
        <v>6000</v>
      </c>
      <c r="F8">
        <f t="shared" si="1"/>
        <v>16800</v>
      </c>
      <c r="G8" s="15" t="str" cm="1">
        <f t="array" ref="G8">IFERROR((F8-INDEX($F:$F,MATCH($A8-1&amp;$B8,$A:$A&amp;$B:$B,0)))/INDEX($F:$F,MATCH($A8-1&amp;$B8,$A:$A&amp;$B:$B,0)),"")</f>
        <v/>
      </c>
      <c r="H8" s="15">
        <f t="shared" si="2"/>
        <v>-0.10714285714285714</v>
      </c>
      <c r="P8" s="28"/>
      <c r="Q8" s="28"/>
      <c r="R8" s="28"/>
      <c r="S8" s="28"/>
      <c r="T8" s="28"/>
      <c r="U8" s="28"/>
    </row>
    <row r="9" spans="1:21" x14ac:dyDescent="0.25">
      <c r="A9">
        <v>2025</v>
      </c>
      <c r="B9">
        <v>8</v>
      </c>
      <c r="C9" t="str">
        <f t="shared" si="0"/>
        <v>2025年8月</v>
      </c>
      <c r="D9">
        <f>SUMIFS(全学员总表!$F:$F, 全学员总表!$P:$P,$A9, 全学员总表!$Q:$Q,$B9)</f>
        <v>11400</v>
      </c>
      <c r="E9">
        <f>SUM(
  SUMIFS(续费情况!$M:$M, 续费情况!$J:$J,"&gt;="&amp;DATE($A9,$B9,1), 续费情况!$J:$J,"&lt;="&amp;EOMONTH(DATE($A9,$B9,1),0)),
  SUMIFS(续费情况!$Q:$Q, 续费情况!$N:$N,"&gt;="&amp;DATE($A9,$B9,1), 续费情况!$N:$N,"&lt;="&amp;EOMONTH(DATE($A9,$B9,1),0)),
  SUMIFS(续费情况!$U:$U, 续费情况!$R:$R,"&gt;="&amp;DATE($A9,$B9,1), 续费情况!$R:$R,"&lt;="&amp;EOMONTH(DATE($A9,$B9,1),0))
)</f>
        <v>3600</v>
      </c>
      <c r="F9">
        <f t="shared" si="1"/>
        <v>15000</v>
      </c>
      <c r="G9" s="15" t="str" cm="1">
        <f t="array" ref="G9">IFERROR((F9-INDEX($F:$F,MATCH($A9-1&amp;$B9,$A:$A&amp;$B:$B,0)))/INDEX($F:$F,MATCH($A9-1&amp;$B9,$A:$A&amp;$B:$B,0)),"")</f>
        <v/>
      </c>
      <c r="H9" s="15">
        <f t="shared" si="2"/>
        <v>-0.2</v>
      </c>
      <c r="P9" s="28"/>
      <c r="Q9" s="28"/>
      <c r="R9" s="28"/>
      <c r="S9" s="28"/>
      <c r="T9" s="28"/>
      <c r="U9" s="28"/>
    </row>
    <row r="10" spans="1:21" x14ac:dyDescent="0.25">
      <c r="A10">
        <v>2025</v>
      </c>
      <c r="B10">
        <v>9</v>
      </c>
      <c r="C10" t="str">
        <f t="shared" si="0"/>
        <v>2025年9月</v>
      </c>
      <c r="D10">
        <f>SUMIFS(全学员总表!$F:$F, 全学员总表!$P:$P,$A10, 全学员总表!$Q:$Q,$B10)</f>
        <v>6000</v>
      </c>
      <c r="E10">
        <f>SUM(
  SUMIFS(续费情况!$M:$M, 续费情况!$J:$J,"&gt;="&amp;DATE($A10,$B10,1), 续费情况!$J:$J,"&lt;="&amp;EOMONTH(DATE($A10,$B10,1),0)),
  SUMIFS(续费情况!$Q:$Q, 续费情况!$N:$N,"&gt;="&amp;DATE($A10,$B10,1), 续费情况!$N:$N,"&lt;="&amp;EOMONTH(DATE($A10,$B10,1),0)),
  SUMIFS(续费情况!$U:$U, 续费情况!$R:$R,"&gt;="&amp;DATE($A10,$B10,1), 续费情况!$R:$R,"&lt;="&amp;EOMONTH(DATE($A10,$B10,1),0))
)</f>
        <v>6000</v>
      </c>
      <c r="F10">
        <f t="shared" si="1"/>
        <v>12000</v>
      </c>
      <c r="G10" s="15" t="str" cm="1">
        <f t="array" ref="G10">IFERROR((F10-INDEX($F:$F,MATCH($A10-1&amp;$B10,$A:$A&amp;$B:$B,0)))/INDEX($F:$F,MATCH($A10-1&amp;$B10,$A:$A&amp;$B:$B,0)),"")</f>
        <v/>
      </c>
      <c r="H10" s="15">
        <f t="shared" si="2"/>
        <v>-0.1</v>
      </c>
      <c r="P10" s="28"/>
      <c r="Q10" s="28"/>
      <c r="R10" s="28"/>
      <c r="S10" s="28"/>
      <c r="T10" s="28"/>
      <c r="U10" s="28"/>
    </row>
    <row r="11" spans="1:21" x14ac:dyDescent="0.25">
      <c r="A11">
        <v>2025</v>
      </c>
      <c r="B11">
        <v>10</v>
      </c>
      <c r="C11" t="str">
        <f t="shared" si="0"/>
        <v>2025年10月</v>
      </c>
      <c r="D11">
        <f>SUMIFS(全学员总表!$F:$F, 全学员总表!$P:$P,$A11, 全学员总表!$Q:$Q,$B11)</f>
        <v>1200</v>
      </c>
      <c r="E11">
        <f>SUM(
  SUMIFS(续费情况!$M:$M, 续费情况!$J:$J,"&gt;="&amp;DATE($A11,$B11,1), 续费情况!$J:$J,"&lt;="&amp;EOMONTH(DATE($A11,$B11,1),0)),
  SUMIFS(续费情况!$Q:$Q, 续费情况!$N:$N,"&gt;="&amp;DATE($A11,$B11,1), 续费情况!$N:$N,"&lt;="&amp;EOMONTH(DATE($A11,$B11,1),0)),
  SUMIFS(续费情况!$U:$U, 续费情况!$R:$R,"&gt;="&amp;DATE($A11,$B11,1), 续费情况!$R:$R,"&lt;="&amp;EOMONTH(DATE($A11,$B11,1),0))
)</f>
        <v>9600</v>
      </c>
      <c r="F11">
        <f t="shared" si="1"/>
        <v>10800</v>
      </c>
      <c r="G11" s="15" t="str" cm="1">
        <f t="array" ref="G11">IFERROR((F11-INDEX($F:$F,MATCH($A11-1&amp;$B11,$A:$A&amp;$B:$B,0)))/INDEX($F:$F,MATCH($A11-1&amp;$B11,$A:$A&amp;$B:$B,0)),"")</f>
        <v/>
      </c>
      <c r="H11" s="15">
        <f t="shared" si="2"/>
        <v>0</v>
      </c>
    </row>
    <row r="12" spans="1:21" x14ac:dyDescent="0.25">
      <c r="A12">
        <v>2025</v>
      </c>
      <c r="B12">
        <v>11</v>
      </c>
      <c r="C12" t="str">
        <f t="shared" si="0"/>
        <v>2025年11月</v>
      </c>
      <c r="D12">
        <f>SUMIFS(全学员总表!$F:$F, 全学员总表!$P:$P,$A12, 全学员总表!$Q:$Q,$B12)</f>
        <v>0</v>
      </c>
      <c r="E12">
        <f>SUM(
  SUMIFS(续费情况!$M:$M, 续费情况!$J:$J,"&gt;="&amp;DATE($A12,$B12,1), 续费情况!$J:$J,"&lt;="&amp;EOMONTH(DATE($A12,$B12,1),0)),
  SUMIFS(续费情况!$Q:$Q, 续费情况!$N:$N,"&gt;="&amp;DATE($A12,$B12,1), 续费情况!$N:$N,"&lt;="&amp;EOMONTH(DATE($A12,$B12,1),0)),
  SUMIFS(续费情况!$U:$U, 续费情况!$R:$R,"&gt;="&amp;DATE($A12,$B12,1), 续费情况!$R:$R,"&lt;="&amp;EOMONTH(DATE($A12,$B12,1),0))
)</f>
        <v>10800</v>
      </c>
      <c r="F12">
        <f t="shared" si="1"/>
        <v>10800</v>
      </c>
      <c r="G12" s="15" t="str" cm="1">
        <f t="array" ref="G12">IFERROR((F12-INDEX($F:$F,MATCH($A12-1&amp;$B12,$A:$A&amp;$B:$B,0)))/INDEX($F:$F,MATCH($A12-1&amp;$B12,$A:$A&amp;$B:$B,0)),"")</f>
        <v/>
      </c>
      <c r="H12" s="15">
        <f t="shared" si="2"/>
        <v>0.16666666666666666</v>
      </c>
    </row>
    <row r="13" spans="1:21" x14ac:dyDescent="0.25">
      <c r="A13">
        <v>2025</v>
      </c>
      <c r="B13">
        <v>12</v>
      </c>
      <c r="C13" t="str">
        <f t="shared" si="0"/>
        <v>2025年12月</v>
      </c>
      <c r="D13">
        <f>SUMIFS(全学员总表!$F:$F, 全学员总表!$P:$P,$A13, 全学员总表!$Q:$Q,$B13)</f>
        <v>0</v>
      </c>
      <c r="E13">
        <f>SUM(
  SUMIFS(续费情况!$M:$M, 续费情况!$J:$J,"&gt;="&amp;DATE($A13,$B13,1), 续费情况!$J:$J,"&lt;="&amp;EOMONTH(DATE($A13,$B13,1),0)),
  SUMIFS(续费情况!$Q:$Q, 续费情况!$N:$N,"&gt;="&amp;DATE($A13,$B13,1), 续费情况!$N:$N,"&lt;="&amp;EOMONTH(DATE($A13,$B13,1),0)),
  SUMIFS(续费情况!$U:$U, 续费情况!$R:$R,"&gt;="&amp;DATE($A13,$B13,1), 续费情况!$R:$R,"&lt;="&amp;EOMONTH(DATE($A13,$B13,1),0))
)</f>
        <v>12600</v>
      </c>
      <c r="F13">
        <f t="shared" si="1"/>
        <v>12600</v>
      </c>
      <c r="G13" s="15" t="str" cm="1">
        <f t="array" ref="G13">IFERROR((F13-INDEX($F:$F,MATCH($A13-1&amp;$B13,$A:$A&amp;$B:$B,0)))/INDEX($F:$F,MATCH($A13-1&amp;$B13,$A:$A&amp;$B:$B,0)),"")</f>
        <v/>
      </c>
      <c r="H13" s="15" t="str">
        <f t="shared" si="2"/>
        <v/>
      </c>
    </row>
    <row r="14" spans="1:21" x14ac:dyDescent="0.25">
      <c r="A14">
        <v>2026</v>
      </c>
      <c r="B14">
        <v>1</v>
      </c>
      <c r="C14" t="str">
        <f t="shared" si="0"/>
        <v>2026年1月</v>
      </c>
      <c r="D14">
        <f>SUMIFS(全学员总表!$F:$F, 全学员总表!$P:$P,$A14, 全学员总表!$Q:$Q,$B14)</f>
        <v>0</v>
      </c>
      <c r="E14">
        <f>SUM(
  SUMIFS(续费情况!$M:$M, 续费情况!$J:$J,"&gt;="&amp;DATE($A14,$B14,1), 续费情况!$J:$J,"&lt;="&amp;EOMONTH(DATE($A14,$B14,1),0)),
  SUMIFS(续费情况!$Q:$Q, 续费情况!$N:$N,"&gt;="&amp;DATE($A14,$B14,1), 续费情况!$N:$N,"&lt;="&amp;EOMONTH(DATE($A14,$B14,1),0)),
  SUMIFS(续费情况!$U:$U, 续费情况!$R:$R,"&gt;="&amp;DATE($A14,$B14,1), 续费情况!$R:$R,"&lt;="&amp;EOMONTH(DATE($A14,$B14,1),0))
)</f>
        <v>4200</v>
      </c>
      <c r="F14">
        <f t="shared" si="1"/>
        <v>4200</v>
      </c>
      <c r="G14" s="15" cm="1">
        <f t="array" ref="G14">IFERROR((F14-INDEX($F:$F,MATCH($A14-1&amp;$B14,$A:$A&amp;$B:$B,0)))/INDEX($F:$F,MATCH($A14-1&amp;$B14,$A:$A&amp;$B:$B,0)),"")</f>
        <v>-0.125</v>
      </c>
      <c r="H14" s="15">
        <f t="shared" si="2"/>
        <v>-0.8571428571428571</v>
      </c>
    </row>
    <row r="15" spans="1:21" x14ac:dyDescent="0.25">
      <c r="A15">
        <v>2026</v>
      </c>
      <c r="B15">
        <v>2</v>
      </c>
      <c r="C15" t="str">
        <f t="shared" si="0"/>
        <v>2026年2月</v>
      </c>
      <c r="D15">
        <f>SUMIFS(全学员总表!$F:$F, 全学员总表!$P:$P,$A15, 全学员总表!$Q:$Q,$B15)</f>
        <v>0</v>
      </c>
      <c r="E15">
        <f>SUM(
  SUMIFS(续费情况!$M:$M, 续费情况!$J:$J,"&gt;="&amp;DATE($A15,$B15,1), 续费情况!$J:$J,"&lt;="&amp;EOMONTH(DATE($A15,$B15,1),0)),
  SUMIFS(续费情况!$Q:$Q, 续费情况!$N:$N,"&gt;="&amp;DATE($A15,$B15,1), 续费情况!$N:$N,"&lt;="&amp;EOMONTH(DATE($A15,$B15,1),0)),
  SUMIFS(续费情况!$U:$U, 续费情况!$R:$R,"&gt;="&amp;DATE($A15,$B15,1), 续费情况!$R:$R,"&lt;="&amp;EOMONTH(DATE($A15,$B15,1),0))
)</f>
        <v>600</v>
      </c>
      <c r="F15">
        <f t="shared" si="1"/>
        <v>600</v>
      </c>
      <c r="G15" s="15" cm="1">
        <f t="array" ref="G15">IFERROR((F15-INDEX($F:$F,MATCH($A15-1&amp;$B15,$A:$A&amp;$B:$B,0)))/INDEX($F:$F,MATCH($A15-1&amp;$B15,$A:$A&amp;$B:$B,0)),"")</f>
        <v>-0.88461538461538458</v>
      </c>
      <c r="H15" s="15">
        <f t="shared" si="2"/>
        <v>-1</v>
      </c>
    </row>
    <row r="16" spans="1:21" x14ac:dyDescent="0.25">
      <c r="A16">
        <v>2026</v>
      </c>
      <c r="B16">
        <v>3</v>
      </c>
      <c r="C16" t="str">
        <f t="shared" si="0"/>
        <v>2026年3月</v>
      </c>
      <c r="D16">
        <f>SUMIFS(全学员总表!$F:$F, 全学员总表!$P:$P,$A16, 全学员总表!$Q:$Q,$B16)</f>
        <v>0</v>
      </c>
      <c r="E16">
        <f>SUM(
  SUMIFS(续费情况!$M:$M, 续费情况!$J:$J,"&gt;="&amp;DATE($A16,$B16,1), 续费情况!$J:$J,"&lt;="&amp;EOMONTH(DATE($A16,$B16,1),0)),
  SUMIFS(续费情况!$Q:$Q, 续费情况!$N:$N,"&gt;="&amp;DATE($A16,$B16,1), 续费情况!$N:$N,"&lt;="&amp;EOMONTH(DATE($A16,$B16,1),0)),
  SUMIFS(续费情况!$U:$U, 续费情况!$R:$R,"&gt;="&amp;DATE($A16,$B16,1), 续费情况!$R:$R,"&lt;="&amp;EOMONTH(DATE($A16,$B16,1),0))
)</f>
        <v>0</v>
      </c>
      <c r="F16">
        <f t="shared" si="1"/>
        <v>0</v>
      </c>
      <c r="G16" s="15" cm="1">
        <f t="array" ref="G16">IFERROR((F16-INDEX($F:$F,MATCH($A16-1&amp;$B16,$A:$A&amp;$B:$B,0)))/INDEX($F:$F,MATCH($A16-1&amp;$B16,$A:$A&amp;$B:$B,0)),"")</f>
        <v>-1</v>
      </c>
      <c r="H16" s="15"/>
    </row>
    <row r="17" spans="1:8" x14ac:dyDescent="0.25">
      <c r="A17">
        <v>2026</v>
      </c>
      <c r="B17">
        <v>4</v>
      </c>
      <c r="C17" t="str">
        <f t="shared" si="0"/>
        <v>2026年4月</v>
      </c>
      <c r="D17">
        <f>SUMIFS(全学员总表!$F:$F, 全学员总表!$P:$P,$A17, 全学员总表!$Q:$Q,$B17)</f>
        <v>0</v>
      </c>
      <c r="E17">
        <f>SUM(
  SUMIFS(续费情况!$M:$M, 续费情况!$J:$J,"&gt;="&amp;DATE($A17,$B17,1), 续费情况!$J:$J,"&lt;="&amp;EOMONTH(DATE($A17,$B17,1),0)),
  SUMIFS(续费情况!$Q:$Q, 续费情况!$N:$N,"&gt;="&amp;DATE($A17,$B17,1), 续费情况!$N:$N,"&lt;="&amp;EOMONTH(DATE($A17,$B17,1),0)),
  SUMIFS(续费情况!$U:$U, 续费情况!$R:$R,"&gt;="&amp;DATE($A17,$B17,1), 续费情况!$R:$R,"&lt;="&amp;EOMONTH(DATE($A17,$B17,1),0))
)</f>
        <v>0</v>
      </c>
      <c r="F17">
        <f t="shared" si="1"/>
        <v>0</v>
      </c>
      <c r="G17" s="15" cm="1">
        <f t="array" ref="G17">IFERROR((F17-INDEX($F:$F,MATCH($A17-1&amp;$B17,$A:$A&amp;$B:$B,0)))/INDEX($F:$F,MATCH($A17-1&amp;$B17,$A:$A&amp;$B:$B,0)),"")</f>
        <v>-1</v>
      </c>
      <c r="H17" s="15"/>
    </row>
    <row r="18" spans="1:8" x14ac:dyDescent="0.25">
      <c r="A18">
        <v>2026</v>
      </c>
      <c r="B18">
        <v>5</v>
      </c>
      <c r="C18" t="str">
        <f t="shared" si="0"/>
        <v>2026年5月</v>
      </c>
      <c r="D18">
        <f>SUMIFS(全学员总表!$F:$F, 全学员总表!$P:$P,$A18, 全学员总表!$Q:$Q,$B18)</f>
        <v>0</v>
      </c>
      <c r="E18">
        <f>SUM(
  SUMIFS(续费情况!$M:$M, 续费情况!$J:$J,"&gt;="&amp;DATE($A18,$B18,1), 续费情况!$J:$J,"&lt;="&amp;EOMONTH(DATE($A18,$B18,1),0)),
  SUMIFS(续费情况!$Q:$Q, 续费情况!$N:$N,"&gt;="&amp;DATE($A18,$B18,1), 续费情况!$N:$N,"&lt;="&amp;EOMONTH(DATE($A18,$B18,1),0)),
  SUMIFS(续费情况!$U:$U, 续费情况!$R:$R,"&gt;="&amp;DATE($A18,$B18,1), 续费情况!$R:$R,"&lt;="&amp;EOMONTH(DATE($A18,$B18,1),0))
)</f>
        <v>0</v>
      </c>
      <c r="F18">
        <f t="shared" si="1"/>
        <v>0</v>
      </c>
      <c r="G18" s="15" cm="1">
        <f t="array" ref="G18">IFERROR((F18-INDEX($F:$F,MATCH($A18-1&amp;$B18,$A:$A&amp;$B:$B,0)))/INDEX($F:$F,MATCH($A18-1&amp;$B18,$A:$A&amp;$B:$B,0)),"")</f>
        <v>-1</v>
      </c>
      <c r="H18" s="15"/>
    </row>
  </sheetData>
  <mergeCells count="1">
    <mergeCell ref="P1:U10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4E2C8-A84D-4F86-913F-631B8C1F42A9}">
  <dimension ref="A1:J31"/>
  <sheetViews>
    <sheetView zoomScale="90" workbookViewId="0">
      <selection activeCell="H13" sqref="H13"/>
    </sheetView>
  </sheetViews>
  <sheetFormatPr defaultRowHeight="13.8" x14ac:dyDescent="0.25"/>
  <cols>
    <col min="1" max="1" width="9.33203125" customWidth="1"/>
    <col min="2" max="2" width="12.5546875" customWidth="1"/>
    <col min="4" max="4" width="17.109375" customWidth="1"/>
    <col min="5" max="5" width="8.88671875" customWidth="1"/>
    <col min="6" max="6" width="17.6640625" customWidth="1"/>
    <col min="7" max="7" width="10.6640625" customWidth="1"/>
    <col min="8" max="8" width="17.88671875" customWidth="1"/>
    <col min="10" max="10" width="17.6640625" customWidth="1"/>
  </cols>
  <sheetData>
    <row r="1" spans="1:10" ht="13.8" customHeight="1" x14ac:dyDescent="0.25">
      <c r="A1" s="31" t="str">
        <f>C4&amp;"年"&amp;H4&amp;"月数据汇总"</f>
        <v>2026年1月数据汇总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13.8" customHeight="1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</row>
    <row r="4" spans="1:10" x14ac:dyDescent="0.25">
      <c r="B4" s="14" t="s">
        <v>81</v>
      </c>
      <c r="C4" s="4">
        <v>2026</v>
      </c>
      <c r="G4" s="14" t="s">
        <v>80</v>
      </c>
      <c r="H4" s="4">
        <v>1</v>
      </c>
    </row>
    <row r="5" spans="1:10" x14ac:dyDescent="0.25">
      <c r="A5" t="s">
        <v>82</v>
      </c>
    </row>
    <row r="6" spans="1:10" x14ac:dyDescent="0.25">
      <c r="B6" s="27" t="s">
        <v>133</v>
      </c>
      <c r="C6" s="27"/>
      <c r="D6" s="27" t="s">
        <v>89</v>
      </c>
      <c r="E6" s="27"/>
      <c r="F6" s="27" t="s">
        <v>90</v>
      </c>
      <c r="G6" s="27"/>
      <c r="H6" s="27" t="s">
        <v>88</v>
      </c>
      <c r="I6" s="18"/>
      <c r="J6" s="18"/>
    </row>
    <row r="7" spans="1:10" x14ac:dyDescent="0.25">
      <c r="B7" s="4">
        <f>SUMIFS(续费情况!I:I,续费情况!G:G,"&gt;="&amp;DATE(C4,H4,1),续费情况!G:G,"&lt;="&amp;EOMONTH(DATE(C4,H4,1),0))
+SUMIFS(续费情况!M:M,续费情况!J:J,"&gt;="&amp;DATE(C4,H4,1),续费情况!J:J,"&lt;="&amp;EOMONTH(DATE(C4,H4,1),0))
+SUMIFS(续费情况!Q:Q,续费情况!N:N,"&gt;="&amp;DATE(C4,H4,1),续费情况!N:N,"&lt;="&amp;EOMONTH(DATE(C4,H4,1),0))
+SUMIFS(续费情况!U:U,续费情况!R:R,"&gt;="&amp;DATE(C4,H4,1),续费情况!R:R,"&lt;="&amp;EOMONTH(DATE(C4,H4,1),0))</f>
        <v>4200</v>
      </c>
      <c r="D7">
        <f>COUNTIFS(续费情况!J:J,"&gt;="&amp;DATE(C4,H4,1),续费情况!J:J,"&lt;="&amp;EOMONTH(DATE(C4,H4,1),0),续费情况!K:K,TRUE)+COUNTIFS(续费情况!N:N,"&gt;="&amp;DATE(C4,H4,1),续费情况!N:N,"&lt;="&amp;EOMONTH(DATE(C4,H4,1),0),续费情况!O:O,TRUE)+COUNTIFS(续费情况!R:R,"&gt;="&amp;DATE(C4,H4,1),续费情况!R:R,"&lt;="&amp;EOMONTH(DATE(C4,H4,1),0),续费情况!S:S,TRUE)+COUNTIFS(续费情况!V:V,"&gt;="&amp;DATE(C4,H4,1),续费情况!V:V,"&lt;="&amp;EOMONTH(DATE(C4,H4,1),0),续费情况!W:W,TRUE)</f>
        <v>5</v>
      </c>
      <c r="F7">
        <f>COUNTIFS(续费情况!J:J,"&gt;="&amp;DATE(C4,H4,1),续费情况!J:J,"&lt;="&amp;EOMONTH(DATE(C4,H4,1),0))+COUNTIFS(续费情况!N:N,"&gt;="&amp;DATE(C4,H4,1),续费情况!N:N,"&lt;="&amp;EOMONTH(DATE(C4,H4,1),0))+COUNTIFS(续费情况!R:R,"&gt;="&amp;DATE(C4,H4,1),续费情况!R:R,"&lt;="&amp;EOMONTH(DATE(C4,H4,1),0))+COUNTIFS(续费情况!V:V,"&gt;="&amp;DATE(C4,H4,1),续费情况!V:V,"&lt;="&amp;EOMONTH(DATE(C4,H4,1),0))</f>
        <v>7</v>
      </c>
      <c r="H7" s="15">
        <f>IFERROR(D7/F7,"-")</f>
        <v>0.7142857142857143</v>
      </c>
    </row>
    <row r="8" spans="1:10" x14ac:dyDescent="0.25">
      <c r="B8" s="27" t="s">
        <v>131</v>
      </c>
      <c r="C8" s="27"/>
      <c r="D8" s="27" t="s">
        <v>132</v>
      </c>
      <c r="E8" s="27"/>
      <c r="F8" s="27" t="s">
        <v>134</v>
      </c>
      <c r="G8" s="27"/>
      <c r="H8" s="27" t="s">
        <v>136</v>
      </c>
      <c r="I8" s="27"/>
      <c r="J8" s="27" t="s">
        <v>135</v>
      </c>
    </row>
    <row r="9" spans="1:10" x14ac:dyDescent="0.25">
      <c r="B9" s="4">
        <f>SUMIFS(全学员总表!F:F,全学员总表!D:D,"&gt;="&amp;DATE($C$4,$H$4,1),全学员总表!D:D,"&lt;="&amp;EOMONTH(DATE($C$4,$H$4,1),0))</f>
        <v>0</v>
      </c>
      <c r="D9">
        <f>SUMIFS(续费情况!M:M,续费情况!J:J,"&gt;="&amp;DATE($C$4,$H$4,1),续费情况!J:J,"&lt;="&amp;EOMONTH(DATE($C$4,$H$4,1),0))+SUMIFS(续费情况!Q:Q,续费情况!N:N,"&gt;="&amp;DATE($C$4,$H$4,1),续费情况!N:N,"&lt;="&amp;EOMONTH(DATE($C$4,$H$4,1),0))+SUMIFS(续费情况!U:U,续费情况!R:R,"&gt;="&amp;DATE($C$4,$H$4,1),续费情况!R:R,"&lt;="&amp;EOMONTH(DATE($C$4,$H$4,1),0))</f>
        <v>4200</v>
      </c>
      <c r="F9">
        <f>SUMIFS(续费情况!I:I,续费情况!G:G,"&gt;="&amp;DATE($C$4,$H$4,1),续费情况!G:G,"&lt;="&amp;EOMONTH(DATE($C$4,$H$4,1),0),续费情况!C:C,"scratch")+SUMIFS(续费情况!M:M,续费情况!J:J,"&gt;="&amp;DATE($C$4,$H$4,1),续费情况!J:J,"&lt;="&amp;EOMONTH(DATE($C$4,$H$4,1),0),续费情况!C:C,"scratch")+SUMIFS(续费情况!Q:Q,续费情况!N:N,"&gt;="&amp;DATE($C$4,$H$4,1),续费情况!N:N,"&lt;="&amp;EOMONTH(DATE($C$4,$H$4,1),0),续费情况!C:C,"scratch")+SUMIFS(续费情况!U:U,续费情况!R:R,"&gt;="&amp;DATE($C$4,$H$4,1),续费情况!R:R,"&lt;="&amp;EOMONTH(DATE($C$4,$H$4,1),0),续费情况!C:C,"scratch")</f>
        <v>2400</v>
      </c>
      <c r="H9">
        <f>SUMIFS(续费情况!I:I,续费情况!G:G,"&gt;="&amp;DATE($C$4,$H$4,1),续费情况!G:G,"&lt;="&amp;EOMONTH(DATE($C$4,$H$4,1),0),续费情况!C:C,"Python")+SUMIFS(续费情况!M:M,续费情况!J:J,"&gt;="&amp;DATE($C$4,$H$4,1),续费情况!J:J,"&lt;="&amp;EOMONTH(DATE($C$4,$H$4,1),0),续费情况!C:C,"Python")+SUMIFS(续费情况!Q:Q,续费情况!N:N,"&gt;="&amp;DATE($C$4,$H$4,1),续费情况!N:N,"&lt;="&amp;EOMONTH(DATE($C$4,$H$4,1),0),续费情况!C:C,"Python")+SUMIFS(续费情况!U:U,续费情况!R:R,"&gt;="&amp;DATE($C$4,$H$4,1),续费情况!R:R,"&lt;="&amp;EOMONTH(DATE($C$4,$H$4,1),0),续费情况!C:C,"Python")</f>
        <v>0</v>
      </c>
      <c r="J9">
        <f>SUMIFS(续费情况!I:I,续费情况!G:G,"&gt;="&amp;DATE($C$4,$H$4,1),续费情况!G:G,"&lt;="&amp;EOMONTH(DATE($C$4,$H$4,1),0),续费情况!C:C,"c++")+SUMIFS(续费情况!M:M,续费情况!J:J,"&gt;="&amp;DATE($C$4,$H$4,1),续费情况!J:J,"&lt;="&amp;EOMONTH(DATE($C$4,$H$4,1),0),续费情况!C:C,"c++")+SUMIFS(续费情况!Q:Q,续费情况!N:N,"&gt;="&amp;DATE($C$4,$H$4,1),续费情况!N:N,"&lt;="&amp;EOMONTH(DATE($C$4,$H$4,1),0),续费情况!C:C,"c++")+SUMIFS(续费情况!U:U,续费情况!R:R,"&gt;="&amp;DATE($C$4,$H$4,1),续费情况!R:R,"&lt;="&amp;EOMONTH(DATE($C$4,$H$4,1),0),续费情况!C:C,"c++")</f>
        <v>1800</v>
      </c>
    </row>
    <row r="10" spans="1:10" x14ac:dyDescent="0.25">
      <c r="H10" s="15"/>
    </row>
    <row r="11" spans="1:10" x14ac:dyDescent="0.25">
      <c r="B11" s="4"/>
      <c r="H11" s="15"/>
    </row>
    <row r="13" spans="1:10" x14ac:dyDescent="0.25">
      <c r="A13" s="19" t="s">
        <v>92</v>
      </c>
      <c r="B13" s="19" t="s">
        <v>65</v>
      </c>
      <c r="E13" s="29" t="s">
        <v>103</v>
      </c>
      <c r="F13" s="29"/>
      <c r="G13" s="30">
        <f>SUMIFS(全学员总表!O:O,全学员总表!C:C,"Scratch")</f>
        <v>78200</v>
      </c>
    </row>
    <row r="14" spans="1:10" x14ac:dyDescent="0.25">
      <c r="A14" s="17" t="str" cm="1">
        <f t="array" ref="A14:A20">_xlfn._xlws.FILTER(续费情况!B2:B999,
(((续费情况!J2:J999&gt;=DATE(C4,H4,1))*(续费情况!J2:J999&lt;=EOMONTH(DATE(C4,H4,1),0)))
+(续费情况!N2:N999&gt;=DATE(C4,H4,1))*(续费情况!N2:N999&lt;=EOMONTH(DATE(C4,H4,1),0))
+(续费情况!R2:R999&gt;=DATE(C4,H4,1))*(续费情况!R2:R999&lt;=EOMONTH(DATE(C4,H4,1),0))
+(续费情况!V2:V999&gt;=DATE(C4,H4,1))*(续费情况!V2:V999&lt;=EOMONTH(DATE(C4,H4,1),0))&gt;0),"")</f>
        <v>张锦程</v>
      </c>
      <c r="B14" s="16" t="b">
        <f>IF(A14="","",IFERROR(IF(COUNTIFS(续费情况!B:B,A14,续费情况!J:J,"&gt;="&amp;DATE($C$4,$H$4,1),续费情况!J:J,"&lt;="&amp;EOMONTH(DATE($C$4,$H$4,1),0)),VLOOKUP(A14,续费情况!B:K,10,FALSE),IF(COUNTIFS(续费情况!B:B,A14,续费情况!N:N,"&gt;="&amp;DATE($C$4,$H$4,1),续费情况!N:N,"&lt;="&amp;EOMONTH(DATE($C$4,$H$4,1),0)),VLOOKUP(A14,续费情况!B:O,14,FALSE),IF(COUNTIFS(续费情况!B:B,A14,续费情况!R:R,"&gt;="&amp;DATE($C$4,$H$4,1),续费情况!R:R,"&lt;="&amp;EOMONTH(DATE($C$4,$H$4,1),0)),VLOOKUP(A14,续费情况!B:S,18,FALSE),VLOOKUP(A14,续费情况!B:W,22,FALSE)))),FALSE))</f>
        <v>1</v>
      </c>
      <c r="E14" s="29"/>
      <c r="F14" s="29"/>
      <c r="G14" s="30"/>
    </row>
    <row r="15" spans="1:10" x14ac:dyDescent="0.25">
      <c r="A15" s="16" t="str">
        <v>张俊豪</v>
      </c>
      <c r="B15" s="16" t="b">
        <f>IF(A15="","",IFERROR(IF(COUNTIFS(续费情况!B:B,A15,续费情况!J:J,"&gt;="&amp;DATE($C$4,$H$4,1),续费情况!J:J,"&lt;="&amp;EOMONTH(DATE($C$4,$H$4,1),0)),VLOOKUP(A15,续费情况!B:K,10,FALSE),IF(COUNTIFS(续费情况!B:B,A15,续费情况!N:N,"&gt;="&amp;DATE($C$4,$H$4,1),续费情况!N:N,"&lt;="&amp;EOMONTH(DATE($C$4,$H$4,1),0)),VLOOKUP(A15,续费情况!B:O,14,FALSE),IF(COUNTIFS(续费情况!B:B,A15,续费情况!R:R,"&gt;="&amp;DATE($C$4,$H$4,1),续费情况!R:R,"&lt;="&amp;EOMONTH(DATE($C$4,$H$4,1),0)),VLOOKUP(A15,续费情况!B:S,18,FALSE),VLOOKUP(A15,续费情况!B:W,22,FALSE)))),FALSE))</f>
        <v>1</v>
      </c>
    </row>
    <row r="16" spans="1:10" x14ac:dyDescent="0.25">
      <c r="A16" s="16" t="str">
        <v>李若溪</v>
      </c>
      <c r="B16" s="16" t="b">
        <f>IF(A16="","",IFERROR(IF(COUNTIFS(续费情况!B:B,A16,续费情况!J:J,"&gt;="&amp;DATE($C$4,$H$4,1),续费情况!J:J,"&lt;="&amp;EOMONTH(DATE($C$4,$H$4,1),0)),VLOOKUP(A16,续费情况!B:K,10,FALSE),IF(COUNTIFS(续费情况!B:B,A16,续费情况!N:N,"&gt;="&amp;DATE($C$4,$H$4,1),续费情况!N:N,"&lt;="&amp;EOMONTH(DATE($C$4,$H$4,1),0)),VLOOKUP(A16,续费情况!B:O,14,FALSE),IF(COUNTIFS(续费情况!B:B,A16,续费情况!R:R,"&gt;="&amp;DATE($C$4,$H$4,1),续费情况!R:R,"&lt;="&amp;EOMONTH(DATE($C$4,$H$4,1),0)),VLOOKUP(A16,续费情况!B:S,18,FALSE),VLOOKUP(A16,续费情况!B:W,22,FALSE)))),FALSE))</f>
        <v>0</v>
      </c>
      <c r="E16" s="32" t="s">
        <v>102</v>
      </c>
      <c r="F16" s="32"/>
      <c r="G16" s="28">
        <f>SUMIFS(全学员总表!O:O,全学员总表!C:C,"Python")</f>
        <v>18000</v>
      </c>
    </row>
    <row r="17" spans="1:7" x14ac:dyDescent="0.25">
      <c r="A17" s="16" t="str">
        <v>黄奕凡</v>
      </c>
      <c r="B17" s="16" t="b">
        <f>IF(A17="","",IFERROR(IF(COUNTIFS(续费情况!B:B,A17,续费情况!J:J,"&gt;="&amp;DATE($C$4,$H$4,1),续费情况!J:J,"&lt;="&amp;EOMONTH(DATE($C$4,$H$4,1),0)),VLOOKUP(A17,续费情况!B:K,10,FALSE),IF(COUNTIFS(续费情况!B:B,A17,续费情况!N:N,"&gt;="&amp;DATE($C$4,$H$4,1),续费情况!N:N,"&lt;="&amp;EOMONTH(DATE($C$4,$H$4,1),0)),VLOOKUP(A17,续费情况!B:O,14,FALSE),IF(COUNTIFS(续费情况!B:B,A17,续费情况!R:R,"&gt;="&amp;DATE($C$4,$H$4,1),续费情况!R:R,"&lt;="&amp;EOMONTH(DATE($C$4,$H$4,1),0)),VLOOKUP(A17,续费情况!B:S,18,FALSE),VLOOKUP(A17,续费情况!B:W,22,FALSE)))),FALSE))</f>
        <v>0</v>
      </c>
      <c r="E17" s="32"/>
      <c r="F17" s="32"/>
      <c r="G17" s="28"/>
    </row>
    <row r="18" spans="1:7" x14ac:dyDescent="0.25">
      <c r="A18" s="16" t="str">
        <v>胡星朗</v>
      </c>
      <c r="B18" s="16" t="b">
        <f>IF(A18="","",IFERROR(IF(COUNTIFS(续费情况!B:B,A18,续费情况!J:J,"&gt;="&amp;DATE($C$4,$H$4,1),续费情况!J:J,"&lt;="&amp;EOMONTH(DATE($C$4,$H$4,1),0)),VLOOKUP(A18,续费情况!B:K,10,FALSE),IF(COUNTIFS(续费情况!B:B,A18,续费情况!N:N,"&gt;="&amp;DATE($C$4,$H$4,1),续费情况!N:N,"&lt;="&amp;EOMONTH(DATE($C$4,$H$4,1),0)),VLOOKUP(A18,续费情况!B:O,14,FALSE),IF(COUNTIFS(续费情况!B:B,A18,续费情况!R:R,"&gt;="&amp;DATE($C$4,$H$4,1),续费情况!R:R,"&lt;="&amp;EOMONTH(DATE($C$4,$H$4,1),0)),VLOOKUP(A18,续费情况!B:S,18,FALSE),VLOOKUP(A18,续费情况!B:W,22,FALSE)))),FALSE))</f>
        <v>1</v>
      </c>
    </row>
    <row r="19" spans="1:7" x14ac:dyDescent="0.25">
      <c r="A19" s="16" t="str">
        <v>林凯瑞</v>
      </c>
      <c r="B19" s="16" t="b">
        <f>IF(A19="","",IFERROR(IF(COUNTIFS(续费情况!B:B,A19,续费情况!J:J,"&gt;="&amp;DATE($C$4,$H$4,1),续费情况!J:J,"&lt;="&amp;EOMONTH(DATE($C$4,$H$4,1),0)),VLOOKUP(A19,续费情况!B:K,10,FALSE),IF(COUNTIFS(续费情况!B:B,A19,续费情况!N:N,"&gt;="&amp;DATE($C$4,$H$4,1),续费情况!N:N,"&lt;="&amp;EOMONTH(DATE($C$4,$H$4,1),0)),VLOOKUP(A19,续费情况!B:O,14,FALSE),IF(COUNTIFS(续费情况!B:B,A19,续费情况!R:R,"&gt;="&amp;DATE($C$4,$H$4,1),续费情况!R:R,"&lt;="&amp;EOMONTH(DATE($C$4,$H$4,1),0)),VLOOKUP(A19,续费情况!B:S,18,FALSE),VLOOKUP(A19,续费情况!B:W,22,FALSE)))),FALSE))</f>
        <v>1</v>
      </c>
      <c r="E19" s="29" t="s">
        <v>104</v>
      </c>
      <c r="F19" s="29"/>
      <c r="G19" s="28">
        <f>SUMIFS(全学员总表!O:O,全学员总表!C:C,"c++")</f>
        <v>18800</v>
      </c>
    </row>
    <row r="20" spans="1:7" x14ac:dyDescent="0.25">
      <c r="A20" s="16" t="str">
        <v>周芷晴</v>
      </c>
      <c r="B20" s="16" t="b">
        <f>IF(A20="","",IFERROR(IF(COUNTIFS(续费情况!B:B,A20,续费情况!J:J,"&gt;="&amp;DATE($C$4,$H$4,1),续费情况!J:J,"&lt;="&amp;EOMONTH(DATE($C$4,$H$4,1),0)),VLOOKUP(A20,续费情况!B:K,10,FALSE),IF(COUNTIFS(续费情况!B:B,A20,续费情况!N:N,"&gt;="&amp;DATE($C$4,$H$4,1),续费情况!N:N,"&lt;="&amp;EOMONTH(DATE($C$4,$H$4,1),0)),VLOOKUP(A20,续费情况!B:O,14,FALSE),IF(COUNTIFS(续费情况!B:B,A20,续费情况!R:R,"&gt;="&amp;DATE($C$4,$H$4,1),续费情况!R:R,"&lt;="&amp;EOMONTH(DATE($C$4,$H$4,1),0)),VLOOKUP(A20,续费情况!B:S,18,FALSE),VLOOKUP(A20,续费情况!B:W,22,FALSE)))),FALSE))</f>
        <v>1</v>
      </c>
      <c r="E20" s="29"/>
      <c r="F20" s="29"/>
      <c r="G20" s="28"/>
    </row>
    <row r="21" spans="1:7" x14ac:dyDescent="0.25">
      <c r="A21" s="16"/>
      <c r="B21" s="16" t="str">
        <f>IF(A21="","",IFERROR(IF(COUNTIFS(续费情况!B:B,A21,续费情况!J:J,"&gt;="&amp;DATE($C$4,$H$4,1),续费情况!J:J,"&lt;="&amp;EOMONTH(DATE($C$4,$H$4,1),0)),VLOOKUP(A21,续费情况!B:K,10,FALSE),IF(COUNTIFS(续费情况!B:B,A21,续费情况!N:N,"&gt;="&amp;DATE($C$4,$H$4,1),续费情况!N:N,"&lt;="&amp;EOMONTH(DATE($C$4,$H$4,1),0)),VLOOKUP(A21,续费情况!B:O,14,FALSE),IF(COUNTIFS(续费情况!B:B,A21,续费情况!R:R,"&gt;="&amp;DATE($C$4,$H$4,1),续费情况!R:R,"&lt;="&amp;EOMONTH(DATE($C$4,$H$4,1),0)),VLOOKUP(A21,续费情况!B:S,18,FALSE),VLOOKUP(A21,续费情况!B:W,22,FALSE)))),FALSE))</f>
        <v/>
      </c>
    </row>
    <row r="22" spans="1:7" x14ac:dyDescent="0.25">
      <c r="A22" s="16"/>
      <c r="B22" s="16" t="str">
        <f>IF(A22="","",IFERROR(IF(COUNTIFS(续费情况!B:B,A22,续费情况!J:J,"&gt;="&amp;DATE($C$4,$H$4,1),续费情况!J:J,"&lt;="&amp;EOMONTH(DATE($C$4,$H$4,1),0)),VLOOKUP(A22,续费情况!B:K,10,FALSE),IF(COUNTIFS(续费情况!B:B,A22,续费情况!N:N,"&gt;="&amp;DATE($C$4,$H$4,1),续费情况!N:N,"&lt;="&amp;EOMONTH(DATE($C$4,$H$4,1),0)),VLOOKUP(A22,续费情况!B:O,14,FALSE),IF(COUNTIFS(续费情况!B:B,A22,续费情况!R:R,"&gt;="&amp;DATE($C$4,$H$4,1),续费情况!R:R,"&lt;="&amp;EOMONTH(DATE($C$4,$H$4,1),0)),VLOOKUP(A22,续费情况!B:S,18,FALSE),VLOOKUP(A22,续费情况!B:W,22,FALSE)))),FALSE))</f>
        <v/>
      </c>
      <c r="E22" s="29" t="s">
        <v>105</v>
      </c>
      <c r="F22" s="29"/>
      <c r="G22" s="30">
        <f>G13+G16+G19</f>
        <v>115000</v>
      </c>
    </row>
    <row r="23" spans="1:7" x14ac:dyDescent="0.25">
      <c r="A23" s="16"/>
      <c r="B23" s="16" t="str">
        <f>IF(A23="","",IFERROR(IF(COUNTIFS(续费情况!B:B,A23,续费情况!J:J,"&gt;="&amp;DATE($C$4,$H$4,1),续费情况!J:J,"&lt;="&amp;EOMONTH(DATE($C$4,$H$4,1),0)),VLOOKUP(A23,续费情况!B:K,10,FALSE),IF(COUNTIFS(续费情况!B:B,A23,续费情况!N:N,"&gt;="&amp;DATE($C$4,$H$4,1),续费情况!N:N,"&lt;="&amp;EOMONTH(DATE($C$4,$H$4,1),0)),VLOOKUP(A23,续费情况!B:O,14,FALSE),IF(COUNTIFS(续费情况!B:B,A23,续费情况!R:R,"&gt;="&amp;DATE($C$4,$H$4,1),续费情况!R:R,"&lt;="&amp;EOMONTH(DATE($C$4,$H$4,1),0)),VLOOKUP(A23,续费情况!B:S,18,FALSE),VLOOKUP(A23,续费情况!B:W,22,FALSE)))),FALSE))</f>
        <v/>
      </c>
      <c r="E23" s="29"/>
      <c r="F23" s="29"/>
      <c r="G23" s="30"/>
    </row>
    <row r="24" spans="1:7" x14ac:dyDescent="0.25">
      <c r="A24" s="16"/>
      <c r="B24" s="16" t="str">
        <f>IF(A24="","",IFERROR(IF(COUNTIFS(续费情况!B:B,A24,续费情况!J:J,"&gt;="&amp;DATE($C$4,$H$4,1),续费情况!J:J,"&lt;="&amp;EOMONTH(DATE($C$4,$H$4,1),0)),VLOOKUP(A24,续费情况!B:K,10,FALSE),IF(COUNTIFS(续费情况!B:B,A24,续费情况!N:N,"&gt;="&amp;DATE($C$4,$H$4,1),续费情况!N:N,"&lt;="&amp;EOMONTH(DATE($C$4,$H$4,1),0)),VLOOKUP(A24,续费情况!B:O,14,FALSE),IF(COUNTIFS(续费情况!B:B,A24,续费情况!R:R,"&gt;="&amp;DATE($C$4,$H$4,1),续费情况!R:R,"&lt;="&amp;EOMONTH(DATE($C$4,$H$4,1),0)),VLOOKUP(A24,续费情况!B:S,18,FALSE),VLOOKUP(A24,续费情况!B:W,22,FALSE)))),FALSE))</f>
        <v/>
      </c>
    </row>
    <row r="25" spans="1:7" x14ac:dyDescent="0.25">
      <c r="A25" s="16"/>
      <c r="B25" s="16" t="str">
        <f>IF(A25="","",IFERROR(IF(COUNTIFS(续费情况!B:B,A25,续费情况!J:J,"&gt;="&amp;DATE($C$4,$H$4,1),续费情况!J:J,"&lt;="&amp;EOMONTH(DATE($C$4,$H$4,1),0)),VLOOKUP(A25,续费情况!B:K,10,FALSE),IF(COUNTIFS(续费情况!B:B,A25,续费情况!N:N,"&gt;="&amp;DATE($C$4,$H$4,1),续费情况!N:N,"&lt;="&amp;EOMONTH(DATE($C$4,$H$4,1),0)),VLOOKUP(A25,续费情况!B:O,14,FALSE),IF(COUNTIFS(续费情况!B:B,A25,续费情况!R:R,"&gt;="&amp;DATE($C$4,$H$4,1),续费情况!R:R,"&lt;="&amp;EOMONTH(DATE($C$4,$H$4,1),0)),VLOOKUP(A25,续费情况!B:S,18,FALSE),VLOOKUP(A25,续费情况!B:W,22,FALSE)))),FALSE))</f>
        <v/>
      </c>
    </row>
    <row r="26" spans="1:7" x14ac:dyDescent="0.25">
      <c r="A26" s="16"/>
      <c r="B26" s="16" t="str">
        <f>IF(A26="","",IFERROR(IF(COUNTIFS(续费情况!B:B,A26,续费情况!J:J,"&gt;="&amp;DATE($C$4,$H$4,1),续费情况!J:J,"&lt;="&amp;EOMONTH(DATE($C$4,$H$4,1),0)),VLOOKUP(A26,续费情况!B:K,10,FALSE),IF(COUNTIFS(续费情况!B:B,A26,续费情况!N:N,"&gt;="&amp;DATE($C$4,$H$4,1),续费情况!N:N,"&lt;="&amp;EOMONTH(DATE($C$4,$H$4,1),0)),VLOOKUP(A26,续费情况!B:O,14,FALSE),IF(COUNTIFS(续费情况!B:B,A26,续费情况!R:R,"&gt;="&amp;DATE($C$4,$H$4,1),续费情况!R:R,"&lt;="&amp;EOMONTH(DATE($C$4,$H$4,1),0)),VLOOKUP(A26,续费情况!B:S,18,FALSE),VLOOKUP(A26,续费情况!B:W,22,FALSE)))),FALSE))</f>
        <v/>
      </c>
    </row>
    <row r="27" spans="1:7" x14ac:dyDescent="0.25">
      <c r="A27" s="16"/>
      <c r="B27" s="16" t="str">
        <f>IF(A27="","",IFERROR(IF(COUNTIFS(续费情况!B:B,A27,续费情况!J:J,"&gt;="&amp;DATE($C$4,$H$4,1),续费情况!J:J,"&lt;="&amp;EOMONTH(DATE($C$4,$H$4,1),0)),VLOOKUP(A27,续费情况!B:K,10,FALSE),IF(COUNTIFS(续费情况!B:B,A27,续费情况!N:N,"&gt;="&amp;DATE($C$4,$H$4,1),续费情况!N:N,"&lt;="&amp;EOMONTH(DATE($C$4,$H$4,1),0)),VLOOKUP(A27,续费情况!B:O,14,FALSE),IF(COUNTIFS(续费情况!B:B,A27,续费情况!R:R,"&gt;="&amp;DATE($C$4,$H$4,1),续费情况!R:R,"&lt;="&amp;EOMONTH(DATE($C$4,$H$4,1),0)),VLOOKUP(A27,续费情况!B:S,18,FALSE),VLOOKUP(A27,续费情况!B:W,22,FALSE)))),FALSE))</f>
        <v/>
      </c>
    </row>
    <row r="28" spans="1:7" x14ac:dyDescent="0.25">
      <c r="A28" s="16"/>
      <c r="B28" s="16" t="str">
        <f>IF(A28="","",IFERROR(IF(COUNTIFS(续费情况!B:B,A28,续费情况!J:J,"&gt;="&amp;DATE($C$4,$H$4,1),续费情况!J:J,"&lt;="&amp;EOMONTH(DATE($C$4,$H$4,1),0)),VLOOKUP(A28,续费情况!B:K,10,FALSE),IF(COUNTIFS(续费情况!B:B,A28,续费情况!N:N,"&gt;="&amp;DATE($C$4,$H$4,1),续费情况!N:N,"&lt;="&amp;EOMONTH(DATE($C$4,$H$4,1),0)),VLOOKUP(A28,续费情况!B:O,14,FALSE),IF(COUNTIFS(续费情况!B:B,A28,续费情况!R:R,"&gt;="&amp;DATE($C$4,$H$4,1),续费情况!R:R,"&lt;="&amp;EOMONTH(DATE($C$4,$H$4,1),0)),VLOOKUP(A28,续费情况!B:S,18,FALSE),VLOOKUP(A28,续费情况!B:W,22,FALSE)))),FALSE))</f>
        <v/>
      </c>
    </row>
    <row r="29" spans="1:7" x14ac:dyDescent="0.25">
      <c r="A29" s="16"/>
      <c r="B29" s="16" t="str">
        <f>IF(A29="","",IFERROR(IF(COUNTIFS(续费情况!B:B,A29,续费情况!J:J,"&gt;="&amp;DATE($C$4,$H$4,1),续费情况!J:J,"&lt;="&amp;EOMONTH(DATE($C$4,$H$4,1),0)),VLOOKUP(A29,续费情况!B:K,10,FALSE),IF(COUNTIFS(续费情况!B:B,A29,续费情况!N:N,"&gt;="&amp;DATE($C$4,$H$4,1),续费情况!N:N,"&lt;="&amp;EOMONTH(DATE($C$4,$H$4,1),0)),VLOOKUP(A29,续费情况!B:O,14,FALSE),IF(COUNTIFS(续费情况!B:B,A29,续费情况!R:R,"&gt;="&amp;DATE($C$4,$H$4,1),续费情况!R:R,"&lt;="&amp;EOMONTH(DATE($C$4,$H$4,1),0)),VLOOKUP(A29,续费情况!B:S,18,FALSE),VLOOKUP(A29,续费情况!B:W,22,FALSE)))),FALSE))</f>
        <v/>
      </c>
    </row>
    <row r="30" spans="1:7" x14ac:dyDescent="0.25">
      <c r="A30" s="16"/>
      <c r="B30" s="16" t="str">
        <f>IF(A30="","",IFERROR(IF(COUNTIFS(续费情况!B:B,A30,续费情况!J:J,"&gt;="&amp;DATE($C$4,$H$4,1),续费情况!J:J,"&lt;="&amp;EOMONTH(DATE($C$4,$H$4,1),0)),VLOOKUP(A30,续费情况!B:K,10,FALSE),IF(COUNTIFS(续费情况!B:B,A30,续费情况!N:N,"&gt;="&amp;DATE($C$4,$H$4,1),续费情况!N:N,"&lt;="&amp;EOMONTH(DATE($C$4,$H$4,1),0)),VLOOKUP(A30,续费情况!B:O,14,FALSE),IF(COUNTIFS(续费情况!B:B,A30,续费情况!R:R,"&gt;="&amp;DATE($C$4,$H$4,1),续费情况!R:R,"&lt;="&amp;EOMONTH(DATE($C$4,$H$4,1),0)),VLOOKUP(A30,续费情况!B:S,18,FALSE),VLOOKUP(A30,续费情况!B:W,22,FALSE)))),FALSE))</f>
        <v/>
      </c>
    </row>
    <row r="31" spans="1:7" x14ac:dyDescent="0.25">
      <c r="A31" s="16"/>
      <c r="B31" s="16" t="str">
        <f>IF(A31="","",IFERROR(IF(COUNTIFS(续费情况!B:B,A31,续费情况!J:J,"&gt;="&amp;DATE($C$4,$H$4,1),续费情况!J:J,"&lt;="&amp;EOMONTH(DATE($C$4,$H$4,1),0)),VLOOKUP(A31,续费情况!B:K,10,FALSE),IF(COUNTIFS(续费情况!B:B,A31,续费情况!N:N,"&gt;="&amp;DATE($C$4,$H$4,1),续费情况!N:N,"&lt;="&amp;EOMONTH(DATE($C$4,$H$4,1),0)),VLOOKUP(A31,续费情况!B:O,14,FALSE),IF(COUNTIFS(续费情况!B:B,A31,续费情况!R:R,"&gt;="&amp;DATE($C$4,$H$4,1),续费情况!R:R,"&lt;="&amp;EOMONTH(DATE($C$4,$H$4,1),0)),VLOOKUP(A31,续费情况!B:S,18,FALSE),VLOOKUP(A31,续费情况!B:W,22,FALSE)))),FALSE))</f>
        <v/>
      </c>
    </row>
  </sheetData>
  <mergeCells count="9">
    <mergeCell ref="E22:F23"/>
    <mergeCell ref="G22:G23"/>
    <mergeCell ref="A1:J2"/>
    <mergeCell ref="E13:F14"/>
    <mergeCell ref="E16:F17"/>
    <mergeCell ref="E19:F20"/>
    <mergeCell ref="G13:G14"/>
    <mergeCell ref="G16:G17"/>
    <mergeCell ref="G19:G20"/>
  </mergeCells>
  <phoneticPr fontId="2" type="noConversion"/>
  <dataValidations count="2">
    <dataValidation type="list" allowBlank="1" showInputMessage="1" showErrorMessage="1" sqref="H4" xr:uid="{B5662331-C765-4E75-A682-0216CAB95292}">
      <formula1>"1,2,3,4,5,6,7,8,9,10,11,12"</formula1>
    </dataValidation>
    <dataValidation type="list" allowBlank="1" showInputMessage="1" showErrorMessage="1" sqref="C4" xr:uid="{A33A999A-BC22-4913-87A9-20BCBD6571A7}">
      <formula1>"2025,2026"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zoomScale="75" workbookViewId="0">
      <selection activeCell="I21" sqref="I21"/>
    </sheetView>
  </sheetViews>
  <sheetFormatPr defaultRowHeight="13.8" x14ac:dyDescent="0.25"/>
  <cols>
    <col min="1" max="3" width="8.88671875" style="2"/>
    <col min="4" max="4" width="10.44140625" style="12" customWidth="1"/>
    <col min="5" max="6" width="8.88671875" style="2"/>
    <col min="7" max="7" width="17.6640625" style="2" customWidth="1"/>
    <col min="8" max="8" width="38.44140625" style="2" customWidth="1"/>
    <col min="9" max="16384" width="8.88671875" style="2"/>
  </cols>
  <sheetData>
    <row r="1" spans="1:8" ht="14.4" thickBot="1" x14ac:dyDescent="0.3">
      <c r="A1" s="5" t="s">
        <v>0</v>
      </c>
      <c r="B1" s="5" t="s">
        <v>1</v>
      </c>
      <c r="C1" s="1" t="s">
        <v>14</v>
      </c>
      <c r="D1" s="13" t="s">
        <v>67</v>
      </c>
      <c r="E1" s="1" t="s">
        <v>63</v>
      </c>
      <c r="F1" s="1" t="s">
        <v>83</v>
      </c>
      <c r="G1" s="1" t="s">
        <v>84</v>
      </c>
      <c r="H1" s="1" t="s">
        <v>91</v>
      </c>
    </row>
    <row r="2" spans="1:8" ht="14.4" thickBot="1" x14ac:dyDescent="0.3">
      <c r="A2" s="3">
        <v>1</v>
      </c>
      <c r="B2" s="3" t="s">
        <v>3</v>
      </c>
      <c r="C2" s="3" t="s">
        <v>15</v>
      </c>
      <c r="D2" s="8">
        <v>45676</v>
      </c>
      <c r="E2" s="3">
        <v>12</v>
      </c>
      <c r="F2" s="3">
        <f>E2*100</f>
        <v>1200</v>
      </c>
    </row>
    <row r="3" spans="1:8" ht="14.4" thickBot="1" x14ac:dyDescent="0.3">
      <c r="A3" s="3">
        <v>2</v>
      </c>
      <c r="B3" s="3" t="s">
        <v>10</v>
      </c>
      <c r="C3" s="3" t="s">
        <v>16</v>
      </c>
      <c r="D3" s="8">
        <v>45682</v>
      </c>
      <c r="E3" s="3">
        <v>24</v>
      </c>
      <c r="F3" s="3">
        <v>2400</v>
      </c>
    </row>
    <row r="4" spans="1:8" ht="14.4" thickBot="1" x14ac:dyDescent="0.3">
      <c r="A4" s="3">
        <v>3</v>
      </c>
      <c r="B4" s="3" t="s">
        <v>11</v>
      </c>
      <c r="C4" s="3" t="s">
        <v>15</v>
      </c>
      <c r="D4" s="8">
        <v>45682</v>
      </c>
      <c r="E4" s="3">
        <v>12</v>
      </c>
      <c r="F4" s="3">
        <f t="shared" ref="F4:F33" si="0">E4*100</f>
        <v>1200</v>
      </c>
    </row>
    <row r="5" spans="1:8" ht="14.4" thickBot="1" x14ac:dyDescent="0.3">
      <c r="A5" s="3">
        <v>4</v>
      </c>
      <c r="B5" s="3" t="s">
        <v>12</v>
      </c>
      <c r="C5" s="3" t="s">
        <v>15</v>
      </c>
      <c r="D5" s="8">
        <v>45691</v>
      </c>
      <c r="E5" s="3">
        <v>24</v>
      </c>
      <c r="F5" s="3">
        <v>2000</v>
      </c>
      <c r="G5" s="2" t="s">
        <v>85</v>
      </c>
    </row>
    <row r="6" spans="1:8" ht="14.4" thickBot="1" x14ac:dyDescent="0.3">
      <c r="A6" s="3">
        <v>5</v>
      </c>
      <c r="B6" s="3" t="s">
        <v>18</v>
      </c>
      <c r="C6" s="3" t="s">
        <v>17</v>
      </c>
      <c r="D6" s="8">
        <v>45691</v>
      </c>
      <c r="E6" s="3">
        <v>24</v>
      </c>
      <c r="F6" s="3">
        <v>2000</v>
      </c>
      <c r="G6" s="2" t="s">
        <v>85</v>
      </c>
    </row>
    <row r="7" spans="1:8" ht="14.4" thickBot="1" x14ac:dyDescent="0.3">
      <c r="A7" s="3">
        <v>6</v>
      </c>
      <c r="B7" s="3" t="s">
        <v>13</v>
      </c>
      <c r="C7" s="3" t="s">
        <v>15</v>
      </c>
      <c r="D7" s="8">
        <v>45703</v>
      </c>
      <c r="E7" s="3">
        <v>12</v>
      </c>
      <c r="F7" s="3">
        <f t="shared" si="0"/>
        <v>1200</v>
      </c>
    </row>
    <row r="8" spans="1:8" ht="14.4" thickBot="1" x14ac:dyDescent="0.3">
      <c r="A8" s="3">
        <v>7</v>
      </c>
      <c r="B8" s="3" t="s">
        <v>20</v>
      </c>
      <c r="C8" s="3" t="s">
        <v>15</v>
      </c>
      <c r="D8" s="8">
        <v>45725</v>
      </c>
      <c r="E8" s="3">
        <v>12</v>
      </c>
      <c r="F8" s="3">
        <f t="shared" si="0"/>
        <v>1200</v>
      </c>
    </row>
    <row r="9" spans="1:8" ht="14.4" thickBot="1" x14ac:dyDescent="0.3">
      <c r="A9" s="3">
        <v>8</v>
      </c>
      <c r="B9" s="3" t="s">
        <v>8</v>
      </c>
      <c r="C9" s="3" t="s">
        <v>15</v>
      </c>
      <c r="D9" s="8">
        <v>45730</v>
      </c>
      <c r="E9" s="3">
        <v>12</v>
      </c>
      <c r="F9" s="3">
        <f t="shared" si="0"/>
        <v>1200</v>
      </c>
    </row>
    <row r="10" spans="1:8" ht="14.4" thickBot="1" x14ac:dyDescent="0.3">
      <c r="A10" s="3">
        <v>9</v>
      </c>
      <c r="B10" s="3" t="s">
        <v>21</v>
      </c>
      <c r="C10" s="3" t="s">
        <v>15</v>
      </c>
      <c r="D10" s="8">
        <v>45739</v>
      </c>
      <c r="E10" s="3">
        <v>12</v>
      </c>
      <c r="F10" s="3">
        <f t="shared" si="0"/>
        <v>1200</v>
      </c>
    </row>
    <row r="11" spans="1:8" ht="14.4" thickBot="1" x14ac:dyDescent="0.3">
      <c r="A11" s="3">
        <v>10</v>
      </c>
      <c r="B11" s="3" t="s">
        <v>22</v>
      </c>
      <c r="C11" s="3" t="s">
        <v>15</v>
      </c>
      <c r="D11" s="8">
        <v>45753</v>
      </c>
      <c r="E11" s="3">
        <v>12</v>
      </c>
      <c r="F11" s="3">
        <f t="shared" si="0"/>
        <v>1200</v>
      </c>
    </row>
    <row r="12" spans="1:8" ht="14.4" thickBot="1" x14ac:dyDescent="0.3">
      <c r="A12" s="3">
        <v>11</v>
      </c>
      <c r="B12" s="3" t="s">
        <v>23</v>
      </c>
      <c r="C12" s="3" t="s">
        <v>15</v>
      </c>
      <c r="D12" s="8">
        <v>45801</v>
      </c>
      <c r="E12" s="3">
        <v>24</v>
      </c>
      <c r="F12" s="3">
        <f t="shared" si="0"/>
        <v>2400</v>
      </c>
    </row>
    <row r="13" spans="1:8" ht="14.4" thickBot="1" x14ac:dyDescent="0.3">
      <c r="A13" s="3">
        <v>12</v>
      </c>
      <c r="B13" s="3" t="s">
        <v>4</v>
      </c>
      <c r="C13" s="3" t="s">
        <v>15</v>
      </c>
      <c r="D13" s="8">
        <v>45816</v>
      </c>
      <c r="E13" s="3">
        <v>36</v>
      </c>
      <c r="F13" s="3">
        <v>3000</v>
      </c>
      <c r="G13" s="2" t="s">
        <v>86</v>
      </c>
    </row>
    <row r="14" spans="1:8" ht="14.4" thickBot="1" x14ac:dyDescent="0.3">
      <c r="A14" s="3">
        <v>13</v>
      </c>
      <c r="B14" s="3" t="s">
        <v>5</v>
      </c>
      <c r="C14" s="3" t="s">
        <v>15</v>
      </c>
      <c r="D14" s="8">
        <v>45829</v>
      </c>
      <c r="E14" s="3">
        <v>24</v>
      </c>
      <c r="F14" s="3">
        <f t="shared" si="0"/>
        <v>2400</v>
      </c>
    </row>
    <row r="15" spans="1:8" ht="14.4" thickBot="1" x14ac:dyDescent="0.3">
      <c r="A15" s="3">
        <v>14</v>
      </c>
      <c r="B15" s="3" t="s">
        <v>24</v>
      </c>
      <c r="C15" s="3" t="s">
        <v>16</v>
      </c>
      <c r="D15" s="8">
        <v>45837</v>
      </c>
      <c r="E15" s="3">
        <v>12</v>
      </c>
      <c r="F15" s="3">
        <f t="shared" si="0"/>
        <v>1200</v>
      </c>
    </row>
    <row r="16" spans="1:8" ht="14.4" thickBot="1" x14ac:dyDescent="0.3">
      <c r="A16" s="3">
        <v>15</v>
      </c>
      <c r="B16" s="3" t="s">
        <v>25</v>
      </c>
      <c r="C16" s="3" t="s">
        <v>16</v>
      </c>
      <c r="D16" s="8">
        <v>45844</v>
      </c>
      <c r="E16" s="3">
        <v>12</v>
      </c>
      <c r="F16" s="3">
        <f t="shared" si="0"/>
        <v>1200</v>
      </c>
    </row>
    <row r="17" spans="1:7" ht="14.4" thickBot="1" x14ac:dyDescent="0.3">
      <c r="A17" s="3">
        <v>16</v>
      </c>
      <c r="B17" s="3" t="s">
        <v>26</v>
      </c>
      <c r="C17" s="3" t="s">
        <v>15</v>
      </c>
      <c r="D17" s="8">
        <v>45849</v>
      </c>
      <c r="E17" s="3">
        <v>12</v>
      </c>
      <c r="F17" s="3">
        <f t="shared" si="0"/>
        <v>1200</v>
      </c>
    </row>
    <row r="18" spans="1:7" ht="14.4" thickBot="1" x14ac:dyDescent="0.3">
      <c r="A18" s="3">
        <v>17</v>
      </c>
      <c r="B18" s="3" t="s">
        <v>27</v>
      </c>
      <c r="C18" s="3" t="s">
        <v>15</v>
      </c>
      <c r="D18" s="8">
        <v>45849</v>
      </c>
      <c r="E18" s="3">
        <v>12</v>
      </c>
      <c r="F18" s="3">
        <f t="shared" si="0"/>
        <v>1200</v>
      </c>
    </row>
    <row r="19" spans="1:7" ht="14.4" thickBot="1" x14ac:dyDescent="0.3">
      <c r="A19" s="3">
        <v>18</v>
      </c>
      <c r="B19" s="3" t="s">
        <v>28</v>
      </c>
      <c r="C19" s="3" t="s">
        <v>15</v>
      </c>
      <c r="D19" s="8">
        <v>45851</v>
      </c>
      <c r="E19" s="3">
        <v>24</v>
      </c>
      <c r="F19" s="3">
        <f t="shared" si="0"/>
        <v>2400</v>
      </c>
    </row>
    <row r="20" spans="1:7" ht="14.4" thickBot="1" x14ac:dyDescent="0.3">
      <c r="A20" s="3">
        <v>19</v>
      </c>
      <c r="B20" s="3" t="s">
        <v>9</v>
      </c>
      <c r="C20" s="3" t="s">
        <v>15</v>
      </c>
      <c r="D20" s="8">
        <v>45857</v>
      </c>
      <c r="E20" s="3">
        <v>24</v>
      </c>
      <c r="F20" s="3">
        <f t="shared" si="0"/>
        <v>2400</v>
      </c>
    </row>
    <row r="21" spans="1:7" ht="14.4" thickBot="1" x14ac:dyDescent="0.3">
      <c r="A21" s="3">
        <v>20</v>
      </c>
      <c r="B21" s="3" t="s">
        <v>29</v>
      </c>
      <c r="C21" s="3" t="s">
        <v>15</v>
      </c>
      <c r="D21" s="8">
        <v>45858</v>
      </c>
      <c r="E21" s="3">
        <v>24</v>
      </c>
      <c r="F21" s="3">
        <f t="shared" si="0"/>
        <v>2400</v>
      </c>
    </row>
    <row r="22" spans="1:7" ht="14.4" thickBot="1" x14ac:dyDescent="0.3">
      <c r="A22" s="3">
        <v>21</v>
      </c>
      <c r="B22" s="3" t="s">
        <v>6</v>
      </c>
      <c r="C22" s="3" t="s">
        <v>17</v>
      </c>
      <c r="D22" s="8">
        <v>45871</v>
      </c>
      <c r="E22" s="3">
        <v>12</v>
      </c>
      <c r="F22" s="3">
        <f t="shared" si="0"/>
        <v>1200</v>
      </c>
    </row>
    <row r="23" spans="1:7" ht="14.4" thickBot="1" x14ac:dyDescent="0.3">
      <c r="A23" s="3">
        <v>22</v>
      </c>
      <c r="B23" s="3" t="s">
        <v>30</v>
      </c>
      <c r="C23" s="3" t="s">
        <v>17</v>
      </c>
      <c r="D23" s="8">
        <v>45872</v>
      </c>
      <c r="E23" s="3">
        <v>36</v>
      </c>
      <c r="F23" s="3">
        <v>3000</v>
      </c>
      <c r="G23" s="2" t="s">
        <v>86</v>
      </c>
    </row>
    <row r="24" spans="1:7" ht="14.4" thickBot="1" x14ac:dyDescent="0.3">
      <c r="A24" s="3">
        <v>23</v>
      </c>
      <c r="B24" s="3" t="s">
        <v>31</v>
      </c>
      <c r="C24" s="3" t="s">
        <v>17</v>
      </c>
      <c r="D24" s="8">
        <v>45886</v>
      </c>
      <c r="E24" s="3">
        <v>12</v>
      </c>
      <c r="F24" s="3">
        <f t="shared" si="0"/>
        <v>1200</v>
      </c>
    </row>
    <row r="25" spans="1:7" ht="14.4" thickBot="1" x14ac:dyDescent="0.3">
      <c r="A25" s="3">
        <v>24</v>
      </c>
      <c r="B25" s="3" t="s">
        <v>32</v>
      </c>
      <c r="C25" s="3" t="s">
        <v>15</v>
      </c>
      <c r="D25" s="8">
        <v>45886</v>
      </c>
      <c r="E25" s="3">
        <v>12</v>
      </c>
      <c r="F25" s="3">
        <f t="shared" si="0"/>
        <v>1200</v>
      </c>
    </row>
    <row r="26" spans="1:7" ht="14.4" thickBot="1" x14ac:dyDescent="0.3">
      <c r="A26" s="3">
        <v>25</v>
      </c>
      <c r="B26" s="3" t="s">
        <v>33</v>
      </c>
      <c r="C26" s="3" t="s">
        <v>17</v>
      </c>
      <c r="D26" s="8">
        <v>45891</v>
      </c>
      <c r="E26" s="3">
        <v>24</v>
      </c>
      <c r="F26" s="3">
        <f t="shared" si="0"/>
        <v>2400</v>
      </c>
    </row>
    <row r="27" spans="1:7" ht="14.4" thickBot="1" x14ac:dyDescent="0.3">
      <c r="A27" s="3">
        <v>26</v>
      </c>
      <c r="B27" s="3" t="s">
        <v>34</v>
      </c>
      <c r="C27" s="3" t="s">
        <v>16</v>
      </c>
      <c r="D27" s="8">
        <v>45892</v>
      </c>
      <c r="E27" s="3">
        <v>12</v>
      </c>
      <c r="F27" s="3">
        <f t="shared" si="0"/>
        <v>1200</v>
      </c>
    </row>
    <row r="28" spans="1:7" ht="14.4" thickBot="1" x14ac:dyDescent="0.3">
      <c r="A28" s="3">
        <v>27</v>
      </c>
      <c r="B28" s="3" t="s">
        <v>7</v>
      </c>
      <c r="C28" s="3" t="s">
        <v>17</v>
      </c>
      <c r="D28" s="8">
        <v>45898</v>
      </c>
      <c r="E28" s="3">
        <v>12</v>
      </c>
      <c r="F28" s="3">
        <f t="shared" si="0"/>
        <v>1200</v>
      </c>
    </row>
    <row r="29" spans="1:7" ht="14.4" thickBot="1" x14ac:dyDescent="0.3">
      <c r="A29" s="3">
        <v>28</v>
      </c>
      <c r="B29" s="3" t="s">
        <v>35</v>
      </c>
      <c r="C29" s="3" t="s">
        <v>16</v>
      </c>
      <c r="D29" s="8">
        <v>45907</v>
      </c>
      <c r="E29" s="3">
        <v>24</v>
      </c>
      <c r="F29" s="3">
        <f t="shared" si="0"/>
        <v>2400</v>
      </c>
    </row>
    <row r="30" spans="1:7" ht="14.4" thickBot="1" x14ac:dyDescent="0.3">
      <c r="A30" s="3">
        <v>29</v>
      </c>
      <c r="B30" s="3" t="s">
        <v>36</v>
      </c>
      <c r="C30" s="3" t="s">
        <v>15</v>
      </c>
      <c r="D30" s="8">
        <v>45903</v>
      </c>
      <c r="E30" s="3">
        <v>12</v>
      </c>
      <c r="F30" s="3">
        <f t="shared" si="0"/>
        <v>1200</v>
      </c>
    </row>
    <row r="31" spans="1:7" ht="14.4" thickBot="1" x14ac:dyDescent="0.3">
      <c r="A31" s="3">
        <v>30</v>
      </c>
      <c r="B31" s="3" t="s">
        <v>37</v>
      </c>
      <c r="C31" s="3" t="s">
        <v>15</v>
      </c>
      <c r="D31" s="8">
        <v>45911</v>
      </c>
      <c r="E31" s="3">
        <v>12</v>
      </c>
      <c r="F31" s="3">
        <f t="shared" si="0"/>
        <v>1200</v>
      </c>
    </row>
    <row r="32" spans="1:7" ht="14.4" thickBot="1" x14ac:dyDescent="0.3">
      <c r="A32" s="3">
        <v>31</v>
      </c>
      <c r="B32" s="3" t="s">
        <v>19</v>
      </c>
      <c r="C32" s="3" t="s">
        <v>15</v>
      </c>
      <c r="D32" s="8">
        <v>45930</v>
      </c>
      <c r="E32" s="3">
        <v>12</v>
      </c>
      <c r="F32" s="3">
        <f t="shared" si="0"/>
        <v>1200</v>
      </c>
    </row>
    <row r="33" spans="1:7" ht="28.2" thickBot="1" x14ac:dyDescent="0.3">
      <c r="A33" s="3">
        <v>32</v>
      </c>
      <c r="B33" s="3" t="s">
        <v>38</v>
      </c>
      <c r="C33" s="3" t="s">
        <v>15</v>
      </c>
      <c r="D33" s="8">
        <v>45932</v>
      </c>
      <c r="E33" s="3">
        <v>12</v>
      </c>
      <c r="F33" s="3">
        <f t="shared" si="0"/>
        <v>1200</v>
      </c>
      <c r="G33" s="22" t="s">
        <v>137</v>
      </c>
    </row>
  </sheetData>
  <autoFilter ref="A1:F1" xr:uid="{00000000-0001-0000-0000-000000000000}"/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976BF-2C66-47C9-B3A6-DEAC430B4FDA}">
  <dimension ref="A1:W33"/>
  <sheetViews>
    <sheetView zoomScale="77" workbookViewId="0">
      <selection activeCell="N8" sqref="N8"/>
    </sheetView>
  </sheetViews>
  <sheetFormatPr defaultRowHeight="13.8" x14ac:dyDescent="0.25"/>
  <cols>
    <col min="1" max="3" width="8.88671875" style="2"/>
    <col min="4" max="4" width="13.44140625" style="4" customWidth="1"/>
    <col min="5" max="5" width="10.44140625" style="4" customWidth="1"/>
    <col min="6" max="6" width="11.77734375" style="4" customWidth="1"/>
    <col min="7" max="7" width="11.88671875" style="12" customWidth="1"/>
    <col min="8" max="8" width="8.88671875" style="2"/>
    <col min="9" max="9" width="11.6640625" style="2" customWidth="1"/>
    <col min="10" max="10" width="13.109375" style="9" customWidth="1"/>
    <col min="12" max="12" width="8.88671875" style="2"/>
    <col min="13" max="13" width="13.21875" style="2" customWidth="1"/>
    <col min="14" max="14" width="11.5546875" style="9" customWidth="1"/>
    <col min="16" max="16" width="8.88671875" style="2"/>
    <col min="17" max="17" width="13.44140625" style="2" customWidth="1"/>
    <col min="18" max="18" width="11.5546875" style="9" customWidth="1"/>
    <col min="20" max="20" width="8.88671875" style="2"/>
    <col min="21" max="21" width="12" style="2" bestFit="1" customWidth="1"/>
    <col min="22" max="22" width="11.5546875" style="9" customWidth="1"/>
  </cols>
  <sheetData>
    <row r="1" spans="1:23" ht="28.2" thickBot="1" x14ac:dyDescent="0.3">
      <c r="A1" s="5" t="s">
        <v>0</v>
      </c>
      <c r="B1" s="5" t="s">
        <v>1</v>
      </c>
      <c r="C1" s="1" t="s">
        <v>14</v>
      </c>
      <c r="D1" s="1" t="s">
        <v>39</v>
      </c>
      <c r="E1" s="1" t="s">
        <v>48</v>
      </c>
      <c r="F1" s="1" t="s">
        <v>47</v>
      </c>
      <c r="G1" s="11" t="s">
        <v>2</v>
      </c>
      <c r="H1" s="1" t="s">
        <v>63</v>
      </c>
      <c r="I1" s="1" t="s">
        <v>83</v>
      </c>
      <c r="J1" s="10" t="s">
        <v>64</v>
      </c>
      <c r="K1" s="6" t="s">
        <v>65</v>
      </c>
      <c r="L1" s="10" t="s">
        <v>66</v>
      </c>
      <c r="M1" s="1" t="s">
        <v>87</v>
      </c>
      <c r="N1" s="10" t="s">
        <v>64</v>
      </c>
      <c r="O1" s="6" t="s">
        <v>65</v>
      </c>
      <c r="P1" s="10" t="s">
        <v>66</v>
      </c>
      <c r="Q1" s="1" t="s">
        <v>87</v>
      </c>
      <c r="R1" s="10" t="s">
        <v>64</v>
      </c>
      <c r="S1" s="6" t="s">
        <v>65</v>
      </c>
      <c r="T1" s="10" t="s">
        <v>66</v>
      </c>
      <c r="U1" s="1" t="s">
        <v>87</v>
      </c>
      <c r="V1" s="10" t="s">
        <v>64</v>
      </c>
      <c r="W1" s="6" t="s">
        <v>65</v>
      </c>
    </row>
    <row r="2" spans="1:23" ht="14.4" thickBot="1" x14ac:dyDescent="0.3">
      <c r="A2" s="3">
        <v>1</v>
      </c>
      <c r="B2" s="3" t="s">
        <v>3</v>
      </c>
      <c r="C2" s="3" t="s">
        <v>15</v>
      </c>
      <c r="D2" s="3" t="str">
        <f>IF(VLOOKUP($A2,学生考级成绩!$A:$E,4,0)=0,"",VLOOKUP($A2,学生考级成绩!$A:$E,4,0))</f>
        <v>二级</v>
      </c>
      <c r="E2" s="3" t="str">
        <f>IF(VLOOKUP($A2,学生考级成绩!$A:$E,5,0)=0,"",VLOOKUP($A2,学生考级成绩!$A:$E,5,0))</f>
        <v/>
      </c>
      <c r="F2" s="3" t="str">
        <f>IF(VLOOKUP($A2,学生考级成绩!$A:$F,6,0)=0,"",VLOOKUP($A2,学生考级成绩!$A:$F,6,0))</f>
        <v/>
      </c>
      <c r="G2" s="8">
        <v>45676</v>
      </c>
      <c r="H2" s="3">
        <v>12</v>
      </c>
      <c r="I2" s="3">
        <f>H2*100</f>
        <v>1200</v>
      </c>
      <c r="J2" s="8">
        <f>G2+H2*7</f>
        <v>45760</v>
      </c>
      <c r="K2" s="7" t="b">
        <v>1</v>
      </c>
      <c r="L2" s="2">
        <v>12</v>
      </c>
      <c r="M2" s="2">
        <f>IF(K2=TRUE,L2*100,0)</f>
        <v>1200</v>
      </c>
      <c r="N2" s="9">
        <f>IF(K2=TRUE,J2+L2*7,"")</f>
        <v>45844</v>
      </c>
      <c r="O2" s="7" t="b">
        <v>1</v>
      </c>
      <c r="P2" s="2">
        <v>12</v>
      </c>
      <c r="Q2" s="2">
        <f>IF(O2=TRUE,P2*100,0)</f>
        <v>1200</v>
      </c>
      <c r="R2" s="9">
        <f>IF(O2=TRUE,N2+P2*7,"")</f>
        <v>45928</v>
      </c>
      <c r="S2" s="7" t="b">
        <v>1</v>
      </c>
      <c r="T2" s="2">
        <v>12</v>
      </c>
      <c r="U2" s="2">
        <f>IF(S2=TRUE,T2*100,0)</f>
        <v>1200</v>
      </c>
      <c r="V2" s="9">
        <f>IF(S2=TRUE,R2+T2*7,"")</f>
        <v>46012</v>
      </c>
      <c r="W2" s="7" t="b">
        <v>0</v>
      </c>
    </row>
    <row r="3" spans="1:23" ht="14.4" thickBot="1" x14ac:dyDescent="0.3">
      <c r="A3" s="3">
        <v>2</v>
      </c>
      <c r="B3" s="3" t="s">
        <v>10</v>
      </c>
      <c r="C3" s="3" t="s">
        <v>16</v>
      </c>
      <c r="D3" s="3" t="str">
        <f>IF(VLOOKUP($A3,学生考级成绩!$A:$E,4,0)=0,"",VLOOKUP($A3,学生考级成绩!$A:$E,4,0))</f>
        <v/>
      </c>
      <c r="E3" s="3" t="str">
        <f>IF(VLOOKUP($A3,学生考级成绩!$A:$E,5,0)=0,"",VLOOKUP($A3,学生考级成绩!$A:$E,5,0))</f>
        <v>四级</v>
      </c>
      <c r="F3" s="3" t="str">
        <f>IF(VLOOKUP($A3,学生考级成绩!$A:$F,6,0)=0,"",VLOOKUP($A3,学生考级成绩!$A:$F,6,0))</f>
        <v/>
      </c>
      <c r="G3" s="8">
        <v>45682</v>
      </c>
      <c r="H3" s="3">
        <v>24</v>
      </c>
      <c r="I3" s="3">
        <v>2400</v>
      </c>
      <c r="J3" s="8">
        <f>G3+H3*7</f>
        <v>45850</v>
      </c>
      <c r="K3" s="7" t="b">
        <v>1</v>
      </c>
      <c r="L3" s="2">
        <v>12</v>
      </c>
      <c r="M3" s="2">
        <f t="shared" ref="M3:M33" si="0">IF(K3=TRUE,L3*100,0)</f>
        <v>1200</v>
      </c>
      <c r="N3" s="9">
        <f t="shared" ref="N3:N33" si="1">IF(K3=TRUE,J3+L3*7,"")</f>
        <v>45934</v>
      </c>
      <c r="O3" s="7" t="b">
        <v>1</v>
      </c>
      <c r="P3" s="2">
        <v>12</v>
      </c>
      <c r="Q3" s="2">
        <f>IF(O3=TRUE,P3*100,0)</f>
        <v>1200</v>
      </c>
      <c r="R3" s="9">
        <f t="shared" ref="R3:R33" si="2">IF(O3=TRUE,N3+P3*7,"")</f>
        <v>46018</v>
      </c>
      <c r="S3" s="7" t="b">
        <v>1</v>
      </c>
      <c r="T3" s="2">
        <v>12</v>
      </c>
      <c r="U3" s="2">
        <f t="shared" ref="U3:U33" si="3">IF(S3=TRUE,T3*100,0)</f>
        <v>1200</v>
      </c>
      <c r="V3" s="9">
        <f t="shared" ref="V3:V33" si="4">IF(S3=TRUE,R3+T3*7,"")</f>
        <v>46102</v>
      </c>
      <c r="W3" s="7" t="b">
        <v>0</v>
      </c>
    </row>
    <row r="4" spans="1:23" ht="14.4" thickBot="1" x14ac:dyDescent="0.3">
      <c r="A4" s="3">
        <v>3</v>
      </c>
      <c r="B4" s="3" t="s">
        <v>11</v>
      </c>
      <c r="C4" s="3" t="s">
        <v>15</v>
      </c>
      <c r="D4" s="3" t="str">
        <f>IF(VLOOKUP($A4,学生考级成绩!$A:$E,4,0)=0,"",VLOOKUP($A4,学生考级成绩!$A:$E,4,0))</f>
        <v>二级</v>
      </c>
      <c r="E4" s="3" t="str">
        <f>IF(VLOOKUP($A4,学生考级成绩!$A:$E,5,0)=0,"",VLOOKUP($A4,学生考级成绩!$A:$E,5,0))</f>
        <v/>
      </c>
      <c r="F4" s="3" t="str">
        <f>IF(VLOOKUP($A4,学生考级成绩!$A:$F,6,0)=0,"",VLOOKUP($A4,学生考级成绩!$A:$F,6,0))</f>
        <v/>
      </c>
      <c r="G4" s="8">
        <v>45682</v>
      </c>
      <c r="H4" s="3">
        <v>12</v>
      </c>
      <c r="I4" s="3">
        <f t="shared" ref="I4:I33" si="5">H4*100</f>
        <v>1200</v>
      </c>
      <c r="J4" s="8">
        <f t="shared" ref="J4:J33" si="6">G4+H4*7</f>
        <v>45766</v>
      </c>
      <c r="K4" s="7" t="b">
        <v>1</v>
      </c>
      <c r="L4" s="2">
        <v>12</v>
      </c>
      <c r="M4" s="2">
        <f t="shared" si="0"/>
        <v>1200</v>
      </c>
      <c r="N4" s="9">
        <f t="shared" si="1"/>
        <v>45850</v>
      </c>
      <c r="O4" s="7" t="b">
        <v>1</v>
      </c>
      <c r="P4" s="2">
        <v>12</v>
      </c>
      <c r="Q4" s="2">
        <f t="shared" ref="Q4:Q33" si="7">IF(O4=TRUE,P4*100,0)</f>
        <v>1200</v>
      </c>
      <c r="R4" s="9">
        <f t="shared" si="2"/>
        <v>45934</v>
      </c>
      <c r="S4" s="7" t="b">
        <v>1</v>
      </c>
      <c r="T4" s="2">
        <v>12</v>
      </c>
      <c r="U4" s="2">
        <f t="shared" si="3"/>
        <v>1200</v>
      </c>
      <c r="V4" s="9">
        <f t="shared" si="4"/>
        <v>46018</v>
      </c>
      <c r="W4" s="7" t="b">
        <v>0</v>
      </c>
    </row>
    <row r="5" spans="1:23" ht="14.4" thickBot="1" x14ac:dyDescent="0.3">
      <c r="A5" s="3">
        <v>4</v>
      </c>
      <c r="B5" s="3" t="s">
        <v>12</v>
      </c>
      <c r="C5" s="3" t="s">
        <v>15</v>
      </c>
      <c r="D5" s="3" t="str">
        <f>IF(VLOOKUP($A5,学生考级成绩!$A:$E,4,0)=0,"",VLOOKUP($A5,学生考级成绩!$A:$E,4,0))</f>
        <v>二级</v>
      </c>
      <c r="E5" s="3" t="str">
        <f>IF(VLOOKUP($A5,学生考级成绩!$A:$E,5,0)=0,"",VLOOKUP($A5,学生考级成绩!$A:$E,5,0))</f>
        <v/>
      </c>
      <c r="F5" s="3" t="str">
        <f>IF(VLOOKUP($A5,学生考级成绩!$A:$F,6,0)=0,"",VLOOKUP($A5,学生考级成绩!$A:$F,6,0))</f>
        <v/>
      </c>
      <c r="G5" s="8">
        <v>45691</v>
      </c>
      <c r="H5" s="3">
        <v>24</v>
      </c>
      <c r="I5" s="3">
        <v>2000</v>
      </c>
      <c r="J5" s="8">
        <f t="shared" si="6"/>
        <v>45859</v>
      </c>
      <c r="K5" s="7" t="b">
        <v>1</v>
      </c>
      <c r="L5" s="2">
        <v>12</v>
      </c>
      <c r="M5" s="2">
        <f t="shared" si="0"/>
        <v>1200</v>
      </c>
      <c r="N5" s="9">
        <f t="shared" si="1"/>
        <v>45943</v>
      </c>
      <c r="O5" s="7" t="b">
        <v>1</v>
      </c>
      <c r="P5" s="2">
        <v>12</v>
      </c>
      <c r="Q5" s="2">
        <f t="shared" si="7"/>
        <v>1200</v>
      </c>
      <c r="R5" s="9">
        <f t="shared" si="2"/>
        <v>46027</v>
      </c>
      <c r="S5" s="7" t="b">
        <v>1</v>
      </c>
      <c r="T5" s="2">
        <v>12</v>
      </c>
      <c r="U5" s="2">
        <f t="shared" si="3"/>
        <v>1200</v>
      </c>
      <c r="V5" s="9">
        <f t="shared" si="4"/>
        <v>46111</v>
      </c>
      <c r="W5" s="7" t="b">
        <v>0</v>
      </c>
    </row>
    <row r="6" spans="1:23" ht="14.4" thickBot="1" x14ac:dyDescent="0.3">
      <c r="A6" s="3">
        <v>5</v>
      </c>
      <c r="B6" s="3" t="s">
        <v>18</v>
      </c>
      <c r="C6" s="3" t="s">
        <v>17</v>
      </c>
      <c r="D6" s="3" t="str">
        <f>IF(VLOOKUP($A6,学生考级成绩!$A:$E,4,0)=0,"",VLOOKUP($A6,学生考级成绩!$A:$E,4,0))</f>
        <v/>
      </c>
      <c r="E6" s="3" t="str">
        <f>IF(VLOOKUP($A6,学生考级成绩!$A:$E,5,0)=0,"",VLOOKUP($A6,学生考级成绩!$A:$E,5,0))</f>
        <v/>
      </c>
      <c r="F6" s="3" t="str">
        <f>IF(VLOOKUP($A6,学生考级成绩!$A:$F,6,0)=0,"",VLOOKUP($A6,学生考级成绩!$A:$F,6,0))</f>
        <v>三级</v>
      </c>
      <c r="G6" s="8">
        <v>45691</v>
      </c>
      <c r="H6" s="3">
        <v>24</v>
      </c>
      <c r="I6" s="3">
        <v>2000</v>
      </c>
      <c r="J6" s="8">
        <f t="shared" si="6"/>
        <v>45859</v>
      </c>
      <c r="K6" s="7" t="b">
        <v>1</v>
      </c>
      <c r="L6" s="2">
        <v>12</v>
      </c>
      <c r="M6" s="2">
        <f t="shared" si="0"/>
        <v>1200</v>
      </c>
      <c r="N6" s="9">
        <f t="shared" si="1"/>
        <v>45943</v>
      </c>
      <c r="O6" s="7" t="b">
        <v>1</v>
      </c>
      <c r="P6" s="2">
        <v>12</v>
      </c>
      <c r="Q6" s="2">
        <f t="shared" si="7"/>
        <v>1200</v>
      </c>
      <c r="R6" s="9">
        <f t="shared" si="2"/>
        <v>46027</v>
      </c>
      <c r="S6" s="7" t="b">
        <v>1</v>
      </c>
      <c r="T6" s="2">
        <v>12</v>
      </c>
      <c r="U6" s="2">
        <f t="shared" si="3"/>
        <v>1200</v>
      </c>
      <c r="V6" s="9">
        <f t="shared" si="4"/>
        <v>46111</v>
      </c>
      <c r="W6" s="7" t="b">
        <v>0</v>
      </c>
    </row>
    <row r="7" spans="1:23" ht="14.4" thickBot="1" x14ac:dyDescent="0.3">
      <c r="A7" s="3">
        <v>6</v>
      </c>
      <c r="B7" s="3" t="s">
        <v>13</v>
      </c>
      <c r="C7" s="3" t="s">
        <v>15</v>
      </c>
      <c r="D7" s="3" t="str">
        <f>IF(VLOOKUP($A7,学生考级成绩!$A:$E,4,0)=0,"",VLOOKUP($A7,学生考级成绩!$A:$E,4,0))</f>
        <v>二级</v>
      </c>
      <c r="E7" s="3" t="str">
        <f>IF(VLOOKUP($A7,学生考级成绩!$A:$E,5,0)=0,"",VLOOKUP($A7,学生考级成绩!$A:$E,5,0))</f>
        <v/>
      </c>
      <c r="F7" s="3" t="str">
        <f>IF(VLOOKUP($A7,学生考级成绩!$A:$F,6,0)=0,"",VLOOKUP($A7,学生考级成绩!$A:$F,6,0))</f>
        <v/>
      </c>
      <c r="G7" s="8">
        <v>45703</v>
      </c>
      <c r="H7" s="3">
        <v>12</v>
      </c>
      <c r="I7" s="3">
        <f t="shared" si="5"/>
        <v>1200</v>
      </c>
      <c r="J7" s="8">
        <f t="shared" si="6"/>
        <v>45787</v>
      </c>
      <c r="K7" s="7" t="b">
        <v>1</v>
      </c>
      <c r="L7" s="2">
        <v>12</v>
      </c>
      <c r="M7" s="2">
        <f t="shared" si="0"/>
        <v>1200</v>
      </c>
      <c r="N7" s="9">
        <f t="shared" si="1"/>
        <v>45871</v>
      </c>
      <c r="O7" s="7" t="b">
        <v>1</v>
      </c>
      <c r="P7" s="2">
        <v>12</v>
      </c>
      <c r="Q7" s="2">
        <f t="shared" si="7"/>
        <v>1200</v>
      </c>
      <c r="R7" s="9">
        <f t="shared" si="2"/>
        <v>45955</v>
      </c>
      <c r="S7" s="7" t="b">
        <v>1</v>
      </c>
      <c r="T7" s="2">
        <v>12</v>
      </c>
      <c r="U7" s="2">
        <f t="shared" si="3"/>
        <v>1200</v>
      </c>
      <c r="V7" s="9">
        <f t="shared" si="4"/>
        <v>46039</v>
      </c>
      <c r="W7" s="7" t="b">
        <v>0</v>
      </c>
    </row>
    <row r="8" spans="1:23" ht="14.4" thickBot="1" x14ac:dyDescent="0.3">
      <c r="A8" s="3">
        <v>7</v>
      </c>
      <c r="B8" s="3" t="s">
        <v>20</v>
      </c>
      <c r="C8" s="3" t="s">
        <v>15</v>
      </c>
      <c r="D8" s="3" t="str">
        <f>IF(VLOOKUP($A8,学生考级成绩!$A:$E,4,0)=0,"",VLOOKUP($A8,学生考级成绩!$A:$E,4,0))</f>
        <v>二级</v>
      </c>
      <c r="E8" s="3" t="str">
        <f>IF(VLOOKUP($A8,学生考级成绩!$A:$E,5,0)=0,"",VLOOKUP($A8,学生考级成绩!$A:$E,5,0))</f>
        <v/>
      </c>
      <c r="F8" s="3" t="str">
        <f>IF(VLOOKUP($A8,学生考级成绩!$A:$F,6,0)=0,"",VLOOKUP($A8,学生考级成绩!$A:$F,6,0))</f>
        <v/>
      </c>
      <c r="G8" s="8">
        <v>45725</v>
      </c>
      <c r="H8" s="3">
        <v>12</v>
      </c>
      <c r="I8" s="3">
        <f t="shared" si="5"/>
        <v>1200</v>
      </c>
      <c r="J8" s="8">
        <f t="shared" si="6"/>
        <v>45809</v>
      </c>
      <c r="K8" s="7" t="b">
        <v>1</v>
      </c>
      <c r="L8" s="2">
        <v>12</v>
      </c>
      <c r="M8" s="2">
        <f t="shared" si="0"/>
        <v>1200</v>
      </c>
      <c r="N8" s="9">
        <f t="shared" si="1"/>
        <v>45893</v>
      </c>
      <c r="O8" s="7" t="b">
        <v>1</v>
      </c>
      <c r="P8" s="2">
        <v>12</v>
      </c>
      <c r="Q8" s="2">
        <f t="shared" si="7"/>
        <v>1200</v>
      </c>
      <c r="R8" s="9">
        <f t="shared" si="2"/>
        <v>45977</v>
      </c>
      <c r="S8" s="7" t="b">
        <v>1</v>
      </c>
      <c r="T8" s="2">
        <v>12</v>
      </c>
      <c r="U8" s="2">
        <f t="shared" si="3"/>
        <v>1200</v>
      </c>
      <c r="V8" s="9">
        <f t="shared" si="4"/>
        <v>46061</v>
      </c>
      <c r="W8" s="7" t="b">
        <v>0</v>
      </c>
    </row>
    <row r="9" spans="1:23" ht="14.4" thickBot="1" x14ac:dyDescent="0.3">
      <c r="A9" s="3">
        <v>8</v>
      </c>
      <c r="B9" s="3" t="s">
        <v>8</v>
      </c>
      <c r="C9" s="3" t="s">
        <v>15</v>
      </c>
      <c r="D9" s="3" t="str">
        <f>IF(VLOOKUP($A9,学生考级成绩!$A:$E,4,0)=0,"",VLOOKUP($A9,学生考级成绩!$A:$E,4,0))</f>
        <v>二级</v>
      </c>
      <c r="E9" s="3" t="str">
        <f>IF(VLOOKUP($A9,学生考级成绩!$A:$E,5,0)=0,"",VLOOKUP($A9,学生考级成绩!$A:$E,5,0))</f>
        <v/>
      </c>
      <c r="F9" s="3" t="str">
        <f>IF(VLOOKUP($A9,学生考级成绩!$A:$F,6,0)=0,"",VLOOKUP($A9,学生考级成绩!$A:$F,6,0))</f>
        <v/>
      </c>
      <c r="G9" s="8">
        <v>45730</v>
      </c>
      <c r="H9" s="3">
        <v>12</v>
      </c>
      <c r="I9" s="3">
        <f t="shared" si="5"/>
        <v>1200</v>
      </c>
      <c r="J9" s="8">
        <f t="shared" si="6"/>
        <v>45814</v>
      </c>
      <c r="K9" s="7" t="b">
        <v>1</v>
      </c>
      <c r="L9" s="2">
        <v>12</v>
      </c>
      <c r="M9" s="2">
        <f t="shared" si="0"/>
        <v>1200</v>
      </c>
      <c r="N9" s="9">
        <f t="shared" si="1"/>
        <v>45898</v>
      </c>
      <c r="O9" s="7" t="b">
        <v>1</v>
      </c>
      <c r="P9" s="2">
        <v>12</v>
      </c>
      <c r="Q9" s="2">
        <f t="shared" si="7"/>
        <v>1200</v>
      </c>
      <c r="R9" s="9">
        <f t="shared" si="2"/>
        <v>45982</v>
      </c>
      <c r="S9" s="7" t="b">
        <v>1</v>
      </c>
      <c r="T9" s="2">
        <v>12</v>
      </c>
      <c r="U9" s="2">
        <f t="shared" si="3"/>
        <v>1200</v>
      </c>
      <c r="V9" s="9">
        <f t="shared" si="4"/>
        <v>46066</v>
      </c>
      <c r="W9" s="7" t="b">
        <v>0</v>
      </c>
    </row>
    <row r="10" spans="1:23" ht="14.4" thickBot="1" x14ac:dyDescent="0.3">
      <c r="A10" s="3">
        <v>9</v>
      </c>
      <c r="B10" s="3" t="s">
        <v>21</v>
      </c>
      <c r="C10" s="3" t="s">
        <v>15</v>
      </c>
      <c r="D10" s="3" t="str">
        <f>IF(VLOOKUP($A10,学生考级成绩!$A:$E,4,0)=0,"",VLOOKUP($A10,学生考级成绩!$A:$E,4,0))</f>
        <v>一级</v>
      </c>
      <c r="E10" s="3" t="str">
        <f>IF(VLOOKUP($A10,学生考级成绩!$A:$E,5,0)=0,"",VLOOKUP($A10,学生考级成绩!$A:$E,5,0))</f>
        <v/>
      </c>
      <c r="F10" s="3" t="str">
        <f>IF(VLOOKUP($A10,学生考级成绩!$A:$F,6,0)=0,"",VLOOKUP($A10,学生考级成绩!$A:$F,6,0))</f>
        <v/>
      </c>
      <c r="G10" s="8">
        <v>45739</v>
      </c>
      <c r="H10" s="3">
        <v>12</v>
      </c>
      <c r="I10" s="3">
        <f t="shared" si="5"/>
        <v>1200</v>
      </c>
      <c r="J10" s="8">
        <f t="shared" si="6"/>
        <v>45823</v>
      </c>
      <c r="K10" s="7" t="b">
        <v>1</v>
      </c>
      <c r="L10" s="2">
        <v>12</v>
      </c>
      <c r="M10" s="2">
        <f t="shared" si="0"/>
        <v>1200</v>
      </c>
      <c r="N10" s="9">
        <f t="shared" si="1"/>
        <v>45907</v>
      </c>
      <c r="O10" s="7" t="b">
        <v>1</v>
      </c>
      <c r="P10" s="2">
        <v>12</v>
      </c>
      <c r="Q10" s="2">
        <f t="shared" si="7"/>
        <v>1200</v>
      </c>
      <c r="R10" s="9">
        <f t="shared" si="2"/>
        <v>45991</v>
      </c>
      <c r="S10" s="7" t="b">
        <v>1</v>
      </c>
      <c r="T10" s="2">
        <v>12</v>
      </c>
      <c r="U10" s="2">
        <f t="shared" si="3"/>
        <v>1200</v>
      </c>
      <c r="V10" s="9">
        <f t="shared" si="4"/>
        <v>46075</v>
      </c>
      <c r="W10" s="7" t="b">
        <v>0</v>
      </c>
    </row>
    <row r="11" spans="1:23" ht="14.4" thickBot="1" x14ac:dyDescent="0.3">
      <c r="A11" s="3">
        <v>10</v>
      </c>
      <c r="B11" s="3" t="s">
        <v>22</v>
      </c>
      <c r="C11" s="3" t="s">
        <v>15</v>
      </c>
      <c r="D11" s="3" t="str">
        <f>IF(VLOOKUP($A11,学生考级成绩!$A:$E,4,0)=0,"",VLOOKUP($A11,学生考级成绩!$A:$E,4,0))</f>
        <v>二级</v>
      </c>
      <c r="E11" s="3" t="str">
        <f>IF(VLOOKUP($A11,学生考级成绩!$A:$E,5,0)=0,"",VLOOKUP($A11,学生考级成绩!$A:$E,5,0))</f>
        <v/>
      </c>
      <c r="F11" s="3" t="str">
        <f>IF(VLOOKUP($A11,学生考级成绩!$A:$F,6,0)=0,"",VLOOKUP($A11,学生考级成绩!$A:$F,6,0))</f>
        <v/>
      </c>
      <c r="G11" s="8">
        <v>45753</v>
      </c>
      <c r="H11" s="3">
        <v>12</v>
      </c>
      <c r="I11" s="3">
        <f t="shared" si="5"/>
        <v>1200</v>
      </c>
      <c r="J11" s="8">
        <f t="shared" si="6"/>
        <v>45837</v>
      </c>
      <c r="K11" s="7" t="b">
        <v>1</v>
      </c>
      <c r="L11" s="2">
        <v>12</v>
      </c>
      <c r="M11" s="2">
        <f t="shared" si="0"/>
        <v>1200</v>
      </c>
      <c r="N11" s="9">
        <f t="shared" si="1"/>
        <v>45921</v>
      </c>
      <c r="O11" s="7" t="b">
        <v>1</v>
      </c>
      <c r="P11" s="2">
        <v>12</v>
      </c>
      <c r="Q11" s="2">
        <f t="shared" si="7"/>
        <v>1200</v>
      </c>
      <c r="R11" s="9">
        <f t="shared" si="2"/>
        <v>46005</v>
      </c>
      <c r="S11" s="7" t="b">
        <v>1</v>
      </c>
      <c r="T11" s="2">
        <v>12</v>
      </c>
      <c r="U11" s="2">
        <f t="shared" si="3"/>
        <v>1200</v>
      </c>
      <c r="V11" s="9">
        <f t="shared" si="4"/>
        <v>46089</v>
      </c>
      <c r="W11" s="7" t="b">
        <v>0</v>
      </c>
    </row>
    <row r="12" spans="1:23" ht="14.4" thickBot="1" x14ac:dyDescent="0.3">
      <c r="A12" s="3">
        <v>11</v>
      </c>
      <c r="B12" s="3" t="s">
        <v>23</v>
      </c>
      <c r="C12" s="3" t="s">
        <v>15</v>
      </c>
      <c r="D12" s="3" t="str">
        <f>IF(VLOOKUP($A12,学生考级成绩!$A:$E,4,0)=0,"",VLOOKUP($A12,学生考级成绩!$A:$E,4,0))</f>
        <v>一级</v>
      </c>
      <c r="E12" s="3" t="str">
        <f>IF(VLOOKUP($A12,学生考级成绩!$A:$E,5,0)=0,"",VLOOKUP($A12,学生考级成绩!$A:$E,5,0))</f>
        <v/>
      </c>
      <c r="F12" s="3" t="str">
        <f>IF(VLOOKUP($A12,学生考级成绩!$A:$F,6,0)=0,"",VLOOKUP($A12,学生考级成绩!$A:$F,6,0))</f>
        <v/>
      </c>
      <c r="G12" s="8">
        <v>45801</v>
      </c>
      <c r="H12" s="3">
        <v>24</v>
      </c>
      <c r="I12" s="3">
        <f t="shared" si="5"/>
        <v>2400</v>
      </c>
      <c r="J12" s="8">
        <f t="shared" si="6"/>
        <v>45969</v>
      </c>
      <c r="K12" s="7" t="b">
        <v>1</v>
      </c>
      <c r="L12" s="2">
        <v>12</v>
      </c>
      <c r="M12" s="2">
        <f t="shared" si="0"/>
        <v>1200</v>
      </c>
      <c r="N12" s="9">
        <f t="shared" si="1"/>
        <v>46053</v>
      </c>
      <c r="O12" s="7" t="b">
        <v>0</v>
      </c>
      <c r="Q12" s="2">
        <f t="shared" si="7"/>
        <v>0</v>
      </c>
      <c r="R12" s="9" t="str">
        <f t="shared" si="2"/>
        <v/>
      </c>
      <c r="S12" s="7" t="b">
        <v>0</v>
      </c>
      <c r="U12" s="2">
        <f t="shared" si="3"/>
        <v>0</v>
      </c>
      <c r="V12" s="9" t="str">
        <f t="shared" si="4"/>
        <v/>
      </c>
      <c r="W12" s="7" t="b">
        <v>0</v>
      </c>
    </row>
    <row r="13" spans="1:23" ht="14.4" thickBot="1" x14ac:dyDescent="0.3">
      <c r="A13" s="3">
        <v>12</v>
      </c>
      <c r="B13" s="3" t="s">
        <v>4</v>
      </c>
      <c r="C13" s="3" t="s">
        <v>15</v>
      </c>
      <c r="D13" s="3" t="str">
        <f>IF(VLOOKUP($A13,学生考级成绩!$A:$E,4,0)=0,"",VLOOKUP($A13,学生考级成绩!$A:$E,4,0))</f>
        <v>三级</v>
      </c>
      <c r="E13" s="3" t="str">
        <f>IF(VLOOKUP($A13,学生考级成绩!$A:$E,5,0)=0,"",VLOOKUP($A13,学生考级成绩!$A:$E,5,0))</f>
        <v/>
      </c>
      <c r="F13" s="3" t="str">
        <f>IF(VLOOKUP($A13,学生考级成绩!$A:$F,6,0)=0,"",VLOOKUP($A13,学生考级成绩!$A:$F,6,0))</f>
        <v/>
      </c>
      <c r="G13" s="8">
        <v>45816</v>
      </c>
      <c r="H13" s="3">
        <v>36</v>
      </c>
      <c r="I13" s="3">
        <v>3000</v>
      </c>
      <c r="J13" s="8">
        <f t="shared" si="6"/>
        <v>46068</v>
      </c>
      <c r="K13" s="7" t="b">
        <v>1</v>
      </c>
      <c r="L13" s="2">
        <v>6</v>
      </c>
      <c r="M13" s="2">
        <f t="shared" si="0"/>
        <v>600</v>
      </c>
      <c r="N13" s="9">
        <f t="shared" si="1"/>
        <v>46110</v>
      </c>
      <c r="O13" s="7" t="b">
        <v>0</v>
      </c>
      <c r="Q13" s="2">
        <f t="shared" si="7"/>
        <v>0</v>
      </c>
      <c r="R13" s="9" t="str">
        <f t="shared" si="2"/>
        <v/>
      </c>
      <c r="S13" s="7" t="b">
        <v>0</v>
      </c>
      <c r="U13" s="2">
        <f t="shared" si="3"/>
        <v>0</v>
      </c>
      <c r="V13" s="9" t="str">
        <f t="shared" si="4"/>
        <v/>
      </c>
      <c r="W13" s="7" t="b">
        <v>0</v>
      </c>
    </row>
    <row r="14" spans="1:23" ht="14.4" thickBot="1" x14ac:dyDescent="0.3">
      <c r="A14" s="3">
        <v>13</v>
      </c>
      <c r="B14" s="3" t="s">
        <v>5</v>
      </c>
      <c r="C14" s="3" t="s">
        <v>15</v>
      </c>
      <c r="D14" s="3" t="str">
        <f>IF(VLOOKUP($A14,学生考级成绩!$A:$E,4,0)=0,"",VLOOKUP($A14,学生考级成绩!$A:$E,4,0))</f>
        <v>二级</v>
      </c>
      <c r="E14" s="3" t="str">
        <f>IF(VLOOKUP($A14,学生考级成绩!$A:$E,5,0)=0,"",VLOOKUP($A14,学生考级成绩!$A:$E,5,0))</f>
        <v/>
      </c>
      <c r="F14" s="3" t="str">
        <f>IF(VLOOKUP($A14,学生考级成绩!$A:$F,6,0)=0,"",VLOOKUP($A14,学生考级成绩!$A:$F,6,0))</f>
        <v/>
      </c>
      <c r="G14" s="8">
        <v>45829</v>
      </c>
      <c r="H14" s="3">
        <v>24</v>
      </c>
      <c r="I14" s="3">
        <f t="shared" si="5"/>
        <v>2400</v>
      </c>
      <c r="J14" s="8">
        <f t="shared" si="6"/>
        <v>45997</v>
      </c>
      <c r="K14" s="7" t="b">
        <v>1</v>
      </c>
      <c r="L14" s="2">
        <v>12</v>
      </c>
      <c r="M14" s="2">
        <f t="shared" si="0"/>
        <v>1200</v>
      </c>
      <c r="N14" s="9">
        <f t="shared" si="1"/>
        <v>46081</v>
      </c>
      <c r="O14" s="7" t="b">
        <v>0</v>
      </c>
      <c r="Q14" s="2">
        <f t="shared" si="7"/>
        <v>0</v>
      </c>
      <c r="R14" s="9" t="str">
        <f t="shared" si="2"/>
        <v/>
      </c>
      <c r="S14" s="7" t="b">
        <v>0</v>
      </c>
      <c r="U14" s="2">
        <f t="shared" si="3"/>
        <v>0</v>
      </c>
      <c r="V14" s="9" t="str">
        <f t="shared" si="4"/>
        <v/>
      </c>
      <c r="W14" s="7" t="b">
        <v>0</v>
      </c>
    </row>
    <row r="15" spans="1:23" ht="14.4" thickBot="1" x14ac:dyDescent="0.3">
      <c r="A15" s="3">
        <v>14</v>
      </c>
      <c r="B15" s="3" t="s">
        <v>24</v>
      </c>
      <c r="C15" s="3" t="s">
        <v>16</v>
      </c>
      <c r="D15" s="3" t="str">
        <f>IF(VLOOKUP($A15,学生考级成绩!$A:$E,4,0)=0,"",VLOOKUP($A15,学生考级成绩!$A:$E,4,0))</f>
        <v/>
      </c>
      <c r="E15" s="3" t="str">
        <f>IF(VLOOKUP($A15,学生考级成绩!$A:$E,5,0)=0,"",VLOOKUP($A15,学生考级成绩!$A:$E,5,0))</f>
        <v>三级</v>
      </c>
      <c r="F15" s="3" t="str">
        <f>IF(VLOOKUP($A15,学生考级成绩!$A:$F,6,0)=0,"",VLOOKUP($A15,学生考级成绩!$A:$F,6,0))</f>
        <v/>
      </c>
      <c r="G15" s="8">
        <v>45837</v>
      </c>
      <c r="H15" s="3">
        <v>12</v>
      </c>
      <c r="I15" s="3">
        <f t="shared" si="5"/>
        <v>1200</v>
      </c>
      <c r="J15" s="8">
        <f t="shared" si="6"/>
        <v>45921</v>
      </c>
      <c r="K15" s="7" t="b">
        <v>1</v>
      </c>
      <c r="L15" s="2">
        <v>12</v>
      </c>
      <c r="M15" s="2">
        <f t="shared" si="0"/>
        <v>1200</v>
      </c>
      <c r="N15" s="9">
        <f t="shared" si="1"/>
        <v>46005</v>
      </c>
      <c r="O15" s="7" t="b">
        <v>1</v>
      </c>
      <c r="P15" s="2">
        <v>12</v>
      </c>
      <c r="Q15" s="2">
        <f t="shared" si="7"/>
        <v>1200</v>
      </c>
      <c r="R15" s="9">
        <f t="shared" si="2"/>
        <v>46089</v>
      </c>
      <c r="S15" s="7" t="b">
        <v>0</v>
      </c>
      <c r="U15" s="2">
        <f t="shared" si="3"/>
        <v>0</v>
      </c>
      <c r="V15" s="9" t="str">
        <f t="shared" si="4"/>
        <v/>
      </c>
      <c r="W15" s="7" t="b">
        <v>0</v>
      </c>
    </row>
    <row r="16" spans="1:23" ht="14.4" thickBot="1" x14ac:dyDescent="0.3">
      <c r="A16" s="3">
        <v>15</v>
      </c>
      <c r="B16" s="3" t="s">
        <v>25</v>
      </c>
      <c r="C16" s="3" t="s">
        <v>16</v>
      </c>
      <c r="D16" s="3" t="str">
        <f>IF(VLOOKUP($A16,学生考级成绩!$A:$E,4,0)=0,"",VLOOKUP($A16,学生考级成绩!$A:$E,4,0))</f>
        <v/>
      </c>
      <c r="E16" s="3" t="str">
        <f>IF(VLOOKUP($A16,学生考级成绩!$A:$E,5,0)=0,"",VLOOKUP($A16,学生考级成绩!$A:$E,5,0))</f>
        <v>二级</v>
      </c>
      <c r="F16" s="3" t="str">
        <f>IF(VLOOKUP($A16,学生考级成绩!$A:$F,6,0)=0,"",VLOOKUP($A16,学生考级成绩!$A:$F,6,0))</f>
        <v/>
      </c>
      <c r="G16" s="8">
        <v>45844</v>
      </c>
      <c r="H16" s="3">
        <v>12</v>
      </c>
      <c r="I16" s="3">
        <f t="shared" si="5"/>
        <v>1200</v>
      </c>
      <c r="J16" s="8">
        <f t="shared" si="6"/>
        <v>45928</v>
      </c>
      <c r="K16" s="7" t="b">
        <v>1</v>
      </c>
      <c r="L16" s="2">
        <v>12</v>
      </c>
      <c r="M16" s="2">
        <f t="shared" si="0"/>
        <v>1200</v>
      </c>
      <c r="N16" s="9">
        <f t="shared" si="1"/>
        <v>46012</v>
      </c>
      <c r="O16" s="7" t="b">
        <v>1</v>
      </c>
      <c r="P16" s="2">
        <v>12</v>
      </c>
      <c r="Q16" s="2">
        <f t="shared" si="7"/>
        <v>1200</v>
      </c>
      <c r="R16" s="9">
        <f t="shared" si="2"/>
        <v>46096</v>
      </c>
      <c r="S16" s="7" t="b">
        <v>0</v>
      </c>
      <c r="U16" s="2">
        <f t="shared" si="3"/>
        <v>0</v>
      </c>
      <c r="V16" s="9" t="str">
        <f t="shared" si="4"/>
        <v/>
      </c>
      <c r="W16" s="7" t="b">
        <v>0</v>
      </c>
    </row>
    <row r="17" spans="1:23" ht="14.4" thickBot="1" x14ac:dyDescent="0.3">
      <c r="A17" s="3">
        <v>16</v>
      </c>
      <c r="B17" s="3" t="s">
        <v>26</v>
      </c>
      <c r="C17" s="3" t="s">
        <v>15</v>
      </c>
      <c r="D17" s="3" t="str">
        <f>IF(VLOOKUP($A17,学生考级成绩!$A:$E,4,0)=0,"",VLOOKUP($A17,学生考级成绩!$A:$E,4,0))</f>
        <v>二级</v>
      </c>
      <c r="E17" s="3" t="str">
        <f>IF(VLOOKUP($A17,学生考级成绩!$A:$E,5,0)=0,"",VLOOKUP($A17,学生考级成绩!$A:$E,5,0))</f>
        <v/>
      </c>
      <c r="F17" s="3" t="str">
        <f>IF(VLOOKUP($A17,学生考级成绩!$A:$F,6,0)=0,"",VLOOKUP($A17,学生考级成绩!$A:$F,6,0))</f>
        <v/>
      </c>
      <c r="G17" s="8">
        <v>45849</v>
      </c>
      <c r="H17" s="3">
        <v>12</v>
      </c>
      <c r="I17" s="3">
        <f t="shared" si="5"/>
        <v>1200</v>
      </c>
      <c r="J17" s="8">
        <f t="shared" si="6"/>
        <v>45933</v>
      </c>
      <c r="K17" s="7" t="b">
        <v>1</v>
      </c>
      <c r="L17" s="2">
        <v>12</v>
      </c>
      <c r="M17" s="2">
        <f t="shared" si="0"/>
        <v>1200</v>
      </c>
      <c r="N17" s="9">
        <f t="shared" si="1"/>
        <v>46017</v>
      </c>
      <c r="O17" s="7" t="b">
        <v>1</v>
      </c>
      <c r="P17" s="2">
        <v>12</v>
      </c>
      <c r="Q17" s="2">
        <f t="shared" si="7"/>
        <v>1200</v>
      </c>
      <c r="R17" s="9">
        <f t="shared" si="2"/>
        <v>46101</v>
      </c>
      <c r="S17" s="7" t="b">
        <v>0</v>
      </c>
      <c r="U17" s="2">
        <f t="shared" si="3"/>
        <v>0</v>
      </c>
      <c r="V17" s="9" t="str">
        <f t="shared" si="4"/>
        <v/>
      </c>
      <c r="W17" s="7" t="b">
        <v>0</v>
      </c>
    </row>
    <row r="18" spans="1:23" ht="14.4" thickBot="1" x14ac:dyDescent="0.3">
      <c r="A18" s="3">
        <v>17</v>
      </c>
      <c r="B18" s="3" t="s">
        <v>27</v>
      </c>
      <c r="C18" s="3" t="s">
        <v>15</v>
      </c>
      <c r="D18" s="3" t="str">
        <f>IF(VLOOKUP($A18,学生考级成绩!$A:$E,4,0)=0,"",VLOOKUP($A18,学生考级成绩!$A:$E,4,0))</f>
        <v>二级</v>
      </c>
      <c r="E18" s="3" t="str">
        <f>IF(VLOOKUP($A18,学生考级成绩!$A:$E,5,0)=0,"",VLOOKUP($A18,学生考级成绩!$A:$E,5,0))</f>
        <v/>
      </c>
      <c r="F18" s="3" t="str">
        <f>IF(VLOOKUP($A18,学生考级成绩!$A:$F,6,0)=0,"",VLOOKUP($A18,学生考级成绩!$A:$F,6,0))</f>
        <v/>
      </c>
      <c r="G18" s="8">
        <v>45849</v>
      </c>
      <c r="H18" s="3">
        <v>12</v>
      </c>
      <c r="I18" s="3">
        <f t="shared" si="5"/>
        <v>1200</v>
      </c>
      <c r="J18" s="8">
        <f t="shared" si="6"/>
        <v>45933</v>
      </c>
      <c r="K18" s="7" t="b">
        <v>1</v>
      </c>
      <c r="L18" s="2">
        <v>12</v>
      </c>
      <c r="M18" s="2">
        <f t="shared" si="0"/>
        <v>1200</v>
      </c>
      <c r="N18" s="9">
        <f t="shared" si="1"/>
        <v>46017</v>
      </c>
      <c r="O18" s="7" t="b">
        <v>1</v>
      </c>
      <c r="P18" s="2">
        <v>12</v>
      </c>
      <c r="Q18" s="2">
        <f t="shared" si="7"/>
        <v>1200</v>
      </c>
      <c r="R18" s="9">
        <f t="shared" si="2"/>
        <v>46101</v>
      </c>
      <c r="S18" s="7" t="b">
        <v>0</v>
      </c>
      <c r="U18" s="2">
        <f t="shared" si="3"/>
        <v>0</v>
      </c>
      <c r="V18" s="9" t="str">
        <f t="shared" si="4"/>
        <v/>
      </c>
      <c r="W18" s="7" t="b">
        <v>0</v>
      </c>
    </row>
    <row r="19" spans="1:23" ht="14.4" thickBot="1" x14ac:dyDescent="0.3">
      <c r="A19" s="3">
        <v>18</v>
      </c>
      <c r="B19" s="3" t="s">
        <v>28</v>
      </c>
      <c r="C19" s="3" t="s">
        <v>15</v>
      </c>
      <c r="D19" s="3" t="str">
        <f>IF(VLOOKUP($A19,学生考级成绩!$A:$E,4,0)=0,"",VLOOKUP($A19,学生考级成绩!$A:$E,4,0))</f>
        <v>二级</v>
      </c>
      <c r="E19" s="3" t="str">
        <f>IF(VLOOKUP($A19,学生考级成绩!$A:$E,5,0)=0,"",VLOOKUP($A19,学生考级成绩!$A:$E,5,0))</f>
        <v/>
      </c>
      <c r="F19" s="3" t="str">
        <f>IF(VLOOKUP($A19,学生考级成绩!$A:$F,6,0)=0,"",VLOOKUP($A19,学生考级成绩!$A:$F,6,0))</f>
        <v/>
      </c>
      <c r="G19" s="8">
        <v>45851</v>
      </c>
      <c r="H19" s="3">
        <v>24</v>
      </c>
      <c r="I19" s="3">
        <f t="shared" si="5"/>
        <v>2400</v>
      </c>
      <c r="J19" s="8">
        <f t="shared" si="6"/>
        <v>46019</v>
      </c>
      <c r="K19" s="7" t="b">
        <v>1</v>
      </c>
      <c r="L19" s="2">
        <v>6</v>
      </c>
      <c r="M19" s="2">
        <f t="shared" si="0"/>
        <v>600</v>
      </c>
      <c r="N19" s="9">
        <f t="shared" si="1"/>
        <v>46061</v>
      </c>
      <c r="O19" s="7" t="b">
        <v>0</v>
      </c>
      <c r="Q19" s="2">
        <f t="shared" si="7"/>
        <v>0</v>
      </c>
      <c r="R19" s="9" t="str">
        <f t="shared" si="2"/>
        <v/>
      </c>
      <c r="S19" s="7" t="b">
        <v>0</v>
      </c>
      <c r="U19" s="2">
        <f t="shared" si="3"/>
        <v>0</v>
      </c>
      <c r="V19" s="9" t="str">
        <f t="shared" si="4"/>
        <v/>
      </c>
      <c r="W19" s="7" t="b">
        <v>0</v>
      </c>
    </row>
    <row r="20" spans="1:23" ht="14.4" thickBot="1" x14ac:dyDescent="0.3">
      <c r="A20" s="3">
        <v>19</v>
      </c>
      <c r="B20" s="3" t="s">
        <v>9</v>
      </c>
      <c r="C20" s="3" t="s">
        <v>15</v>
      </c>
      <c r="D20" s="3" t="str">
        <f>IF(VLOOKUP($A20,学生考级成绩!$A:$E,4,0)=0,"",VLOOKUP($A20,学生考级成绩!$A:$E,4,0))</f>
        <v>二级</v>
      </c>
      <c r="E20" s="3" t="str">
        <f>IF(VLOOKUP($A20,学生考级成绩!$A:$E,5,0)=0,"",VLOOKUP($A20,学生考级成绩!$A:$E,5,0))</f>
        <v/>
      </c>
      <c r="F20" s="3" t="str">
        <f>IF(VLOOKUP($A20,学生考级成绩!$A:$F,6,0)=0,"",VLOOKUP($A20,学生考级成绩!$A:$F,6,0))</f>
        <v/>
      </c>
      <c r="G20" s="8">
        <v>45857</v>
      </c>
      <c r="H20" s="3">
        <v>24</v>
      </c>
      <c r="I20" s="3">
        <f t="shared" si="5"/>
        <v>2400</v>
      </c>
      <c r="J20" s="8">
        <f t="shared" si="6"/>
        <v>46025</v>
      </c>
      <c r="K20" s="7" t="b">
        <v>1</v>
      </c>
      <c r="L20" s="2">
        <v>6</v>
      </c>
      <c r="M20" s="2">
        <f t="shared" si="0"/>
        <v>600</v>
      </c>
      <c r="N20" s="9">
        <f t="shared" si="1"/>
        <v>46067</v>
      </c>
      <c r="O20" s="7" t="b">
        <v>0</v>
      </c>
      <c r="Q20" s="2">
        <f t="shared" si="7"/>
        <v>0</v>
      </c>
      <c r="R20" s="9" t="str">
        <f t="shared" si="2"/>
        <v/>
      </c>
      <c r="S20" s="7" t="b">
        <v>0</v>
      </c>
      <c r="U20" s="2">
        <f t="shared" si="3"/>
        <v>0</v>
      </c>
      <c r="V20" s="9" t="str">
        <f t="shared" si="4"/>
        <v/>
      </c>
      <c r="W20" s="7" t="b">
        <v>0</v>
      </c>
    </row>
    <row r="21" spans="1:23" ht="14.4" thickBot="1" x14ac:dyDescent="0.3">
      <c r="A21" s="3">
        <v>20</v>
      </c>
      <c r="B21" s="3" t="s">
        <v>29</v>
      </c>
      <c r="C21" s="3" t="s">
        <v>15</v>
      </c>
      <c r="D21" s="3" t="str">
        <f>IF(VLOOKUP($A21,学生考级成绩!$A:$E,4,0)=0,"",VLOOKUP($A21,学生考级成绩!$A:$E,4,0))</f>
        <v>二级</v>
      </c>
      <c r="E21" s="3" t="str">
        <f>IF(VLOOKUP($A21,学生考级成绩!$A:$E,5,0)=0,"",VLOOKUP($A21,学生考级成绩!$A:$E,5,0))</f>
        <v/>
      </c>
      <c r="F21" s="3" t="str">
        <f>IF(VLOOKUP($A21,学生考级成绩!$A:$F,6,0)=0,"",VLOOKUP($A21,学生考级成绩!$A:$F,6,0))</f>
        <v/>
      </c>
      <c r="G21" s="8">
        <v>45858</v>
      </c>
      <c r="H21" s="3">
        <v>24</v>
      </c>
      <c r="I21" s="3">
        <f t="shared" si="5"/>
        <v>2400</v>
      </c>
      <c r="J21" s="8">
        <f t="shared" si="6"/>
        <v>46026</v>
      </c>
      <c r="K21" s="7" t="b">
        <v>1</v>
      </c>
      <c r="L21" s="2">
        <v>6</v>
      </c>
      <c r="M21" s="2">
        <f t="shared" si="0"/>
        <v>600</v>
      </c>
      <c r="N21" s="9">
        <f t="shared" si="1"/>
        <v>46068</v>
      </c>
      <c r="O21" s="7" t="b">
        <v>0</v>
      </c>
      <c r="Q21" s="2">
        <f t="shared" si="7"/>
        <v>0</v>
      </c>
      <c r="R21" s="9" t="str">
        <f t="shared" si="2"/>
        <v/>
      </c>
      <c r="S21" s="7" t="b">
        <v>0</v>
      </c>
      <c r="U21" s="2">
        <f t="shared" si="3"/>
        <v>0</v>
      </c>
      <c r="V21" s="9" t="str">
        <f t="shared" si="4"/>
        <v/>
      </c>
      <c r="W21" s="7" t="b">
        <v>0</v>
      </c>
    </row>
    <row r="22" spans="1:23" ht="14.4" thickBot="1" x14ac:dyDescent="0.3">
      <c r="A22" s="3">
        <v>21</v>
      </c>
      <c r="B22" s="3" t="s">
        <v>6</v>
      </c>
      <c r="C22" s="3" t="s">
        <v>17</v>
      </c>
      <c r="D22" s="3" t="str">
        <f>IF(VLOOKUP($A22,学生考级成绩!$A:$E,4,0)=0,"",VLOOKUP($A22,学生考级成绩!$A:$E,4,0))</f>
        <v/>
      </c>
      <c r="E22" s="3" t="str">
        <f>IF(VLOOKUP($A22,学生考级成绩!$A:$E,5,0)=0,"",VLOOKUP($A22,学生考级成绩!$A:$E,5,0))</f>
        <v/>
      </c>
      <c r="F22" s="3" t="str">
        <f>IF(VLOOKUP($A22,学生考级成绩!$A:$F,6,0)=0,"",VLOOKUP($A22,学生考级成绩!$A:$F,6,0))</f>
        <v>二级</v>
      </c>
      <c r="G22" s="8">
        <v>45871</v>
      </c>
      <c r="H22" s="3">
        <v>12</v>
      </c>
      <c r="I22" s="3">
        <f t="shared" si="5"/>
        <v>1200</v>
      </c>
      <c r="J22" s="8">
        <f t="shared" si="6"/>
        <v>45955</v>
      </c>
      <c r="K22" s="7" t="b">
        <v>1</v>
      </c>
      <c r="L22" s="2">
        <v>12</v>
      </c>
      <c r="M22" s="2">
        <f t="shared" si="0"/>
        <v>1200</v>
      </c>
      <c r="N22" s="9">
        <f t="shared" si="1"/>
        <v>46039</v>
      </c>
      <c r="O22" s="7" t="b">
        <v>1</v>
      </c>
      <c r="P22" s="2">
        <v>6</v>
      </c>
      <c r="Q22" s="2">
        <f t="shared" si="7"/>
        <v>600</v>
      </c>
      <c r="R22" s="9">
        <f t="shared" si="2"/>
        <v>46081</v>
      </c>
      <c r="S22" s="7" t="b">
        <v>0</v>
      </c>
      <c r="U22" s="2">
        <f t="shared" si="3"/>
        <v>0</v>
      </c>
      <c r="V22" s="9" t="str">
        <f t="shared" si="4"/>
        <v/>
      </c>
      <c r="W22" s="7" t="b">
        <v>0</v>
      </c>
    </row>
    <row r="23" spans="1:23" ht="14.4" thickBot="1" x14ac:dyDescent="0.3">
      <c r="A23" s="3">
        <v>22</v>
      </c>
      <c r="B23" s="3" t="s">
        <v>30</v>
      </c>
      <c r="C23" s="3" t="s">
        <v>17</v>
      </c>
      <c r="D23" s="3" t="str">
        <f>IF(VLOOKUP($A23,学生考级成绩!$A:$E,4,0)=0,"",VLOOKUP($A23,学生考级成绩!$A:$E,4,0))</f>
        <v/>
      </c>
      <c r="E23" s="3" t="str">
        <f>IF(VLOOKUP($A23,学生考级成绩!$A:$E,5,0)=0,"",VLOOKUP($A23,学生考级成绩!$A:$E,5,0))</f>
        <v/>
      </c>
      <c r="F23" s="3" t="str">
        <f>IF(VLOOKUP($A23,学生考级成绩!$A:$F,6,0)=0,"",VLOOKUP($A23,学生考级成绩!$A:$F,6,0))</f>
        <v>二级</v>
      </c>
      <c r="G23" s="8">
        <v>45872</v>
      </c>
      <c r="H23" s="3">
        <v>36</v>
      </c>
      <c r="I23" s="3">
        <v>3000</v>
      </c>
      <c r="J23" s="8">
        <f t="shared" si="6"/>
        <v>46124</v>
      </c>
      <c r="K23" s="7" t="b">
        <v>0</v>
      </c>
      <c r="M23" s="2">
        <f t="shared" si="0"/>
        <v>0</v>
      </c>
      <c r="N23" s="9" t="str">
        <f t="shared" si="1"/>
        <v/>
      </c>
      <c r="O23" s="7" t="b">
        <v>0</v>
      </c>
      <c r="Q23" s="2">
        <f t="shared" si="7"/>
        <v>0</v>
      </c>
      <c r="R23" s="9" t="str">
        <f t="shared" si="2"/>
        <v/>
      </c>
      <c r="S23" s="7" t="b">
        <v>0</v>
      </c>
      <c r="U23" s="2">
        <f t="shared" si="3"/>
        <v>0</v>
      </c>
      <c r="V23" s="9" t="str">
        <f t="shared" si="4"/>
        <v/>
      </c>
      <c r="W23" s="7" t="b">
        <v>0</v>
      </c>
    </row>
    <row r="24" spans="1:23" ht="14.4" thickBot="1" x14ac:dyDescent="0.3">
      <c r="A24" s="3">
        <v>23</v>
      </c>
      <c r="B24" s="3" t="s">
        <v>31</v>
      </c>
      <c r="C24" s="3" t="s">
        <v>17</v>
      </c>
      <c r="D24" s="3" t="str">
        <f>IF(VLOOKUP($A24,学生考级成绩!$A:$E,4,0)=0,"",VLOOKUP($A24,学生考级成绩!$A:$E,4,0))</f>
        <v/>
      </c>
      <c r="E24" s="3" t="str">
        <f>IF(VLOOKUP($A24,学生考级成绩!$A:$E,5,0)=0,"",VLOOKUP($A24,学生考级成绩!$A:$E,5,0))</f>
        <v/>
      </c>
      <c r="F24" s="3" t="str">
        <f>IF(VLOOKUP($A24,学生考级成绩!$A:$F,6,0)=0,"",VLOOKUP($A24,学生考级成绩!$A:$F,6,0))</f>
        <v>二级</v>
      </c>
      <c r="G24" s="8">
        <v>45886</v>
      </c>
      <c r="H24" s="3">
        <v>12</v>
      </c>
      <c r="I24" s="3">
        <f t="shared" si="5"/>
        <v>1200</v>
      </c>
      <c r="J24" s="8">
        <f t="shared" si="6"/>
        <v>45970</v>
      </c>
      <c r="K24" s="7" t="b">
        <v>1</v>
      </c>
      <c r="L24" s="2">
        <v>12</v>
      </c>
      <c r="M24" s="2">
        <f t="shared" si="0"/>
        <v>1200</v>
      </c>
      <c r="N24" s="9">
        <f t="shared" si="1"/>
        <v>46054</v>
      </c>
      <c r="O24" s="7" t="b">
        <v>0</v>
      </c>
      <c r="Q24" s="2">
        <f t="shared" si="7"/>
        <v>0</v>
      </c>
      <c r="R24" s="9" t="str">
        <f t="shared" si="2"/>
        <v/>
      </c>
      <c r="S24" s="7" t="b">
        <v>0</v>
      </c>
      <c r="U24" s="2">
        <f t="shared" si="3"/>
        <v>0</v>
      </c>
      <c r="V24" s="9" t="str">
        <f t="shared" si="4"/>
        <v/>
      </c>
      <c r="W24" s="7" t="b">
        <v>0</v>
      </c>
    </row>
    <row r="25" spans="1:23" ht="14.4" thickBot="1" x14ac:dyDescent="0.3">
      <c r="A25" s="3">
        <v>24</v>
      </c>
      <c r="B25" s="3" t="s">
        <v>32</v>
      </c>
      <c r="C25" s="3" t="s">
        <v>15</v>
      </c>
      <c r="D25" s="3" t="str">
        <f>IF(VLOOKUP($A25,学生考级成绩!$A:$E,4,0)=0,"",VLOOKUP($A25,学生考级成绩!$A:$E,4,0))</f>
        <v>二级</v>
      </c>
      <c r="E25" s="3" t="str">
        <f>IF(VLOOKUP($A25,学生考级成绩!$A:$E,5,0)=0,"",VLOOKUP($A25,学生考级成绩!$A:$E,5,0))</f>
        <v/>
      </c>
      <c r="F25" s="3" t="str">
        <f>IF(VLOOKUP($A25,学生考级成绩!$A:$F,6,0)=0,"",VLOOKUP($A25,学生考级成绩!$A:$F,6,0))</f>
        <v/>
      </c>
      <c r="G25" s="8">
        <v>45886</v>
      </c>
      <c r="H25" s="3">
        <v>12</v>
      </c>
      <c r="I25" s="3">
        <f t="shared" si="5"/>
        <v>1200</v>
      </c>
      <c r="J25" s="8">
        <f t="shared" si="6"/>
        <v>45970</v>
      </c>
      <c r="K25" s="7" t="b">
        <v>1</v>
      </c>
      <c r="L25" s="2">
        <v>12</v>
      </c>
      <c r="M25" s="2">
        <f t="shared" si="0"/>
        <v>1200</v>
      </c>
      <c r="N25" s="9">
        <f t="shared" si="1"/>
        <v>46054</v>
      </c>
      <c r="O25" s="7" t="b">
        <v>0</v>
      </c>
      <c r="Q25" s="2">
        <f t="shared" si="7"/>
        <v>0</v>
      </c>
      <c r="R25" s="9" t="str">
        <f t="shared" si="2"/>
        <v/>
      </c>
      <c r="S25" s="7" t="b">
        <v>0</v>
      </c>
      <c r="U25" s="2">
        <f t="shared" si="3"/>
        <v>0</v>
      </c>
      <c r="V25" s="9" t="str">
        <f t="shared" si="4"/>
        <v/>
      </c>
      <c r="W25" s="7" t="b">
        <v>0</v>
      </c>
    </row>
    <row r="26" spans="1:23" ht="14.4" thickBot="1" x14ac:dyDescent="0.3">
      <c r="A26" s="3">
        <v>25</v>
      </c>
      <c r="B26" s="3" t="s">
        <v>33</v>
      </c>
      <c r="C26" s="3" t="s">
        <v>17</v>
      </c>
      <c r="D26" s="3" t="str">
        <f>IF(VLOOKUP($A26,学生考级成绩!$A:$E,4,0)=0,"",VLOOKUP($A26,学生考级成绩!$A:$E,4,0))</f>
        <v/>
      </c>
      <c r="E26" s="3" t="str">
        <f>IF(VLOOKUP($A26,学生考级成绩!$A:$E,5,0)=0,"",VLOOKUP($A26,学生考级成绩!$A:$E,5,0))</f>
        <v/>
      </c>
      <c r="F26" s="3" t="str">
        <f>IF(VLOOKUP($A26,学生考级成绩!$A:$F,6,0)=0,"",VLOOKUP($A26,学生考级成绩!$A:$F,6,0))</f>
        <v>一级</v>
      </c>
      <c r="G26" s="8">
        <v>45891</v>
      </c>
      <c r="H26" s="3">
        <v>24</v>
      </c>
      <c r="I26" s="3">
        <f t="shared" si="5"/>
        <v>2400</v>
      </c>
      <c r="J26" s="8">
        <f t="shared" si="6"/>
        <v>46059</v>
      </c>
      <c r="K26" s="7" t="b">
        <v>0</v>
      </c>
      <c r="M26" s="2">
        <f t="shared" si="0"/>
        <v>0</v>
      </c>
      <c r="N26" s="9" t="str">
        <f t="shared" si="1"/>
        <v/>
      </c>
      <c r="O26" s="7" t="b">
        <v>0</v>
      </c>
      <c r="Q26" s="2">
        <f t="shared" si="7"/>
        <v>0</v>
      </c>
      <c r="R26" s="9" t="str">
        <f t="shared" si="2"/>
        <v/>
      </c>
      <c r="S26" s="7" t="b">
        <v>0</v>
      </c>
      <c r="U26" s="2">
        <f t="shared" si="3"/>
        <v>0</v>
      </c>
      <c r="V26" s="9" t="str">
        <f t="shared" si="4"/>
        <v/>
      </c>
      <c r="W26" s="7" t="b">
        <v>0</v>
      </c>
    </row>
    <row r="27" spans="1:23" ht="14.4" thickBot="1" x14ac:dyDescent="0.3">
      <c r="A27" s="3">
        <v>26</v>
      </c>
      <c r="B27" s="3" t="s">
        <v>34</v>
      </c>
      <c r="C27" s="3" t="s">
        <v>16</v>
      </c>
      <c r="D27" s="3" t="str">
        <f>IF(VLOOKUP($A27,学生考级成绩!$A:$E,4,0)=0,"",VLOOKUP($A27,学生考级成绩!$A:$E,4,0))</f>
        <v/>
      </c>
      <c r="E27" s="3" t="str">
        <f>IF(VLOOKUP($A27,学生考级成绩!$A:$E,5,0)=0,"",VLOOKUP($A27,学生考级成绩!$A:$E,5,0))</f>
        <v>一级</v>
      </c>
      <c r="F27" s="3" t="str">
        <f>IF(VLOOKUP($A27,学生考级成绩!$A:$F,6,0)=0,"",VLOOKUP($A27,学生考级成绩!$A:$F,6,0))</f>
        <v/>
      </c>
      <c r="G27" s="8">
        <v>45892</v>
      </c>
      <c r="H27" s="3">
        <v>12</v>
      </c>
      <c r="I27" s="3">
        <f t="shared" si="5"/>
        <v>1200</v>
      </c>
      <c r="J27" s="8">
        <f t="shared" si="6"/>
        <v>45976</v>
      </c>
      <c r="K27" s="7" t="b">
        <v>1</v>
      </c>
      <c r="L27" s="2">
        <v>12</v>
      </c>
      <c r="M27" s="2">
        <f t="shared" si="0"/>
        <v>1200</v>
      </c>
      <c r="N27" s="9">
        <f t="shared" si="1"/>
        <v>46060</v>
      </c>
      <c r="O27" s="7" t="b">
        <v>0</v>
      </c>
      <c r="Q27" s="2">
        <f t="shared" si="7"/>
        <v>0</v>
      </c>
      <c r="R27" s="9" t="str">
        <f t="shared" si="2"/>
        <v/>
      </c>
      <c r="S27" s="7" t="b">
        <v>0</v>
      </c>
      <c r="U27" s="2">
        <f t="shared" si="3"/>
        <v>0</v>
      </c>
      <c r="V27" s="9" t="str">
        <f t="shared" si="4"/>
        <v/>
      </c>
      <c r="W27" s="7" t="b">
        <v>0</v>
      </c>
    </row>
    <row r="28" spans="1:23" ht="14.4" thickBot="1" x14ac:dyDescent="0.3">
      <c r="A28" s="3">
        <v>27</v>
      </c>
      <c r="B28" s="3" t="s">
        <v>7</v>
      </c>
      <c r="C28" s="3" t="s">
        <v>17</v>
      </c>
      <c r="D28" s="3" t="str">
        <f>IF(VLOOKUP($A28,学生考级成绩!$A:$E,4,0)=0,"",VLOOKUP($A28,学生考级成绩!$A:$E,4,0))</f>
        <v/>
      </c>
      <c r="E28" s="3" t="str">
        <f>IF(VLOOKUP($A28,学生考级成绩!$A:$E,5,0)=0,"",VLOOKUP($A28,学生考级成绩!$A:$E,5,0))</f>
        <v/>
      </c>
      <c r="F28" s="3" t="str">
        <f>IF(VLOOKUP($A28,学生考级成绩!$A:$F,6,0)=0,"",VLOOKUP($A28,学生考级成绩!$A:$F,6,0))</f>
        <v>一级</v>
      </c>
      <c r="G28" s="8">
        <v>45898</v>
      </c>
      <c r="H28" s="3">
        <v>12</v>
      </c>
      <c r="I28" s="3">
        <f t="shared" si="5"/>
        <v>1200</v>
      </c>
      <c r="J28" s="8">
        <f t="shared" si="6"/>
        <v>45982</v>
      </c>
      <c r="K28" s="7" t="b">
        <v>1</v>
      </c>
      <c r="L28" s="2">
        <v>12</v>
      </c>
      <c r="M28" s="2">
        <f t="shared" si="0"/>
        <v>1200</v>
      </c>
      <c r="N28" s="9">
        <f t="shared" si="1"/>
        <v>46066</v>
      </c>
      <c r="O28" s="7" t="b">
        <v>0</v>
      </c>
      <c r="Q28" s="2">
        <f t="shared" si="7"/>
        <v>0</v>
      </c>
      <c r="R28" s="9" t="str">
        <f t="shared" si="2"/>
        <v/>
      </c>
      <c r="S28" s="7" t="b">
        <v>0</v>
      </c>
      <c r="U28" s="2">
        <f t="shared" si="3"/>
        <v>0</v>
      </c>
      <c r="V28" s="9" t="str">
        <f t="shared" si="4"/>
        <v/>
      </c>
      <c r="W28" s="7" t="b">
        <v>0</v>
      </c>
    </row>
    <row r="29" spans="1:23" ht="14.4" thickBot="1" x14ac:dyDescent="0.3">
      <c r="A29" s="3">
        <v>28</v>
      </c>
      <c r="B29" s="3" t="s">
        <v>35</v>
      </c>
      <c r="C29" s="3" t="s">
        <v>16</v>
      </c>
      <c r="D29" s="3" t="str">
        <f>IF(VLOOKUP($A29,学生考级成绩!$A:$E,4,0)=0,"",VLOOKUP($A29,学生考级成绩!$A:$E,4,0))</f>
        <v/>
      </c>
      <c r="E29" s="3" t="str">
        <f>IF(VLOOKUP($A29,学生考级成绩!$A:$E,5,0)=0,"",VLOOKUP($A29,学生考级成绩!$A:$E,5,0))</f>
        <v>二级</v>
      </c>
      <c r="F29" s="3" t="str">
        <f>IF(VLOOKUP($A29,学生考级成绩!$A:$F,6,0)=0,"",VLOOKUP($A29,学生考级成绩!$A:$F,6,0))</f>
        <v/>
      </c>
      <c r="G29" s="8">
        <v>45907</v>
      </c>
      <c r="H29" s="3">
        <v>24</v>
      </c>
      <c r="I29" s="3">
        <f t="shared" si="5"/>
        <v>2400</v>
      </c>
      <c r="J29" s="8">
        <f t="shared" si="6"/>
        <v>46075</v>
      </c>
      <c r="K29" s="7" t="b">
        <v>0</v>
      </c>
      <c r="M29" s="2">
        <f t="shared" si="0"/>
        <v>0</v>
      </c>
      <c r="N29" s="9" t="str">
        <f t="shared" si="1"/>
        <v/>
      </c>
      <c r="O29" s="7" t="b">
        <v>0</v>
      </c>
      <c r="Q29" s="2">
        <f t="shared" si="7"/>
        <v>0</v>
      </c>
      <c r="R29" s="9" t="str">
        <f t="shared" si="2"/>
        <v/>
      </c>
      <c r="S29" s="7" t="b">
        <v>0</v>
      </c>
      <c r="U29" s="2">
        <f t="shared" si="3"/>
        <v>0</v>
      </c>
      <c r="V29" s="9" t="str">
        <f t="shared" si="4"/>
        <v/>
      </c>
      <c r="W29" s="7" t="b">
        <v>0</v>
      </c>
    </row>
    <row r="30" spans="1:23" ht="14.4" thickBot="1" x14ac:dyDescent="0.3">
      <c r="A30" s="3">
        <v>29</v>
      </c>
      <c r="B30" s="3" t="s">
        <v>36</v>
      </c>
      <c r="C30" s="3" t="s">
        <v>15</v>
      </c>
      <c r="D30" s="3" t="str">
        <f>IF(VLOOKUP($A30,学生考级成绩!$A:$E,4,0)=0,"",VLOOKUP($A30,学生考级成绩!$A:$E,4,0))</f>
        <v>一级</v>
      </c>
      <c r="E30" s="3" t="str">
        <f>IF(VLOOKUP($A30,学生考级成绩!$A:$E,5,0)=0,"",VLOOKUP($A30,学生考级成绩!$A:$E,5,0))</f>
        <v/>
      </c>
      <c r="F30" s="3" t="str">
        <f>IF(VLOOKUP($A30,学生考级成绩!$A:$F,6,0)=0,"",VLOOKUP($A30,学生考级成绩!$A:$F,6,0))</f>
        <v/>
      </c>
      <c r="G30" s="8">
        <v>45903</v>
      </c>
      <c r="H30" s="3">
        <v>12</v>
      </c>
      <c r="I30" s="3">
        <f t="shared" si="5"/>
        <v>1200</v>
      </c>
      <c r="J30" s="8">
        <f t="shared" si="6"/>
        <v>45987</v>
      </c>
      <c r="K30" s="7" t="b">
        <v>1</v>
      </c>
      <c r="L30" s="2">
        <v>12</v>
      </c>
      <c r="M30" s="2">
        <f t="shared" si="0"/>
        <v>1200</v>
      </c>
      <c r="N30" s="9">
        <f t="shared" si="1"/>
        <v>46071</v>
      </c>
      <c r="O30" s="7" t="b">
        <v>0</v>
      </c>
      <c r="Q30" s="2">
        <f t="shared" si="7"/>
        <v>0</v>
      </c>
      <c r="R30" s="9" t="str">
        <f t="shared" si="2"/>
        <v/>
      </c>
      <c r="S30" s="7" t="b">
        <v>0</v>
      </c>
      <c r="U30" s="2">
        <f t="shared" si="3"/>
        <v>0</v>
      </c>
      <c r="V30" s="9" t="str">
        <f t="shared" si="4"/>
        <v/>
      </c>
      <c r="W30" s="7" t="b">
        <v>0</v>
      </c>
    </row>
    <row r="31" spans="1:23" ht="14.4" thickBot="1" x14ac:dyDescent="0.3">
      <c r="A31" s="3">
        <v>30</v>
      </c>
      <c r="B31" s="3" t="s">
        <v>37</v>
      </c>
      <c r="C31" s="3" t="s">
        <v>15</v>
      </c>
      <c r="D31" s="3" t="str">
        <f>IF(VLOOKUP($A31,学生考级成绩!$A:$E,4,0)=0,"",VLOOKUP($A31,学生考级成绩!$A:$E,4,0))</f>
        <v>一级</v>
      </c>
      <c r="E31" s="3" t="str">
        <f>IF(VLOOKUP($A31,学生考级成绩!$A:$E,5,0)=0,"",VLOOKUP($A31,学生考级成绩!$A:$E,5,0))</f>
        <v/>
      </c>
      <c r="F31" s="3" t="str">
        <f>IF(VLOOKUP($A31,学生考级成绩!$A:$F,6,0)=0,"",VLOOKUP($A31,学生考级成绩!$A:$F,6,0))</f>
        <v/>
      </c>
      <c r="G31" s="8">
        <v>45911</v>
      </c>
      <c r="H31" s="3">
        <v>12</v>
      </c>
      <c r="I31" s="3">
        <f t="shared" si="5"/>
        <v>1200</v>
      </c>
      <c r="J31" s="8">
        <f t="shared" si="6"/>
        <v>45995</v>
      </c>
      <c r="K31" s="7" t="b">
        <v>1</v>
      </c>
      <c r="L31" s="2">
        <v>12</v>
      </c>
      <c r="M31" s="2">
        <f t="shared" si="0"/>
        <v>1200</v>
      </c>
      <c r="N31" s="9">
        <f t="shared" si="1"/>
        <v>46079</v>
      </c>
      <c r="O31" s="7" t="b">
        <v>0</v>
      </c>
      <c r="Q31" s="2">
        <f t="shared" si="7"/>
        <v>0</v>
      </c>
      <c r="R31" s="9" t="str">
        <f t="shared" si="2"/>
        <v/>
      </c>
      <c r="S31" s="7" t="b">
        <v>0</v>
      </c>
      <c r="U31" s="2">
        <f t="shared" si="3"/>
        <v>0</v>
      </c>
      <c r="V31" s="9" t="str">
        <f t="shared" si="4"/>
        <v/>
      </c>
      <c r="W31" s="7" t="b">
        <v>0</v>
      </c>
    </row>
    <row r="32" spans="1:23" ht="14.4" thickBot="1" x14ac:dyDescent="0.3">
      <c r="A32" s="3">
        <v>31</v>
      </c>
      <c r="B32" s="3" t="s">
        <v>19</v>
      </c>
      <c r="C32" s="3" t="s">
        <v>15</v>
      </c>
      <c r="D32" s="3" t="str">
        <f>IF(VLOOKUP($A32,学生考级成绩!$A:$E,4,0)=0,"",VLOOKUP($A32,学生考级成绩!$A:$E,4,0))</f>
        <v>一级</v>
      </c>
      <c r="E32" s="3" t="str">
        <f>IF(VLOOKUP($A32,学生考级成绩!$A:$E,5,0)=0,"",VLOOKUP($A32,学生考级成绩!$A:$E,5,0))</f>
        <v/>
      </c>
      <c r="F32" s="3" t="str">
        <f>IF(VLOOKUP($A32,学生考级成绩!$A:$F,6,0)=0,"",VLOOKUP($A32,学生考级成绩!$A:$F,6,0))</f>
        <v/>
      </c>
      <c r="G32" s="8">
        <v>45930</v>
      </c>
      <c r="H32" s="3">
        <v>12</v>
      </c>
      <c r="I32" s="3">
        <f t="shared" si="5"/>
        <v>1200</v>
      </c>
      <c r="J32" s="8">
        <f t="shared" si="6"/>
        <v>46014</v>
      </c>
      <c r="K32" s="7" t="b">
        <v>1</v>
      </c>
      <c r="L32" s="2">
        <v>12</v>
      </c>
      <c r="M32" s="2">
        <f t="shared" si="0"/>
        <v>1200</v>
      </c>
      <c r="N32" s="9">
        <f t="shared" si="1"/>
        <v>46098</v>
      </c>
      <c r="O32" s="7" t="b">
        <v>0</v>
      </c>
      <c r="Q32" s="2">
        <f t="shared" si="7"/>
        <v>0</v>
      </c>
      <c r="R32" s="9" t="str">
        <f t="shared" si="2"/>
        <v/>
      </c>
      <c r="S32" s="7" t="b">
        <v>0</v>
      </c>
      <c r="U32" s="2">
        <f t="shared" si="3"/>
        <v>0</v>
      </c>
      <c r="V32" s="9" t="str">
        <f t="shared" si="4"/>
        <v/>
      </c>
      <c r="W32" s="7" t="b">
        <v>0</v>
      </c>
    </row>
    <row r="33" spans="1:23" ht="14.4" thickBot="1" x14ac:dyDescent="0.3">
      <c r="A33" s="3">
        <v>32</v>
      </c>
      <c r="B33" s="3" t="s">
        <v>38</v>
      </c>
      <c r="C33" s="3" t="s">
        <v>15</v>
      </c>
      <c r="D33" s="3" t="str">
        <f>IF(VLOOKUP($A33,学生考级成绩!$A:$E,4,0)=0,"",VLOOKUP($A33,学生考级成绩!$A:$E,4,0))</f>
        <v/>
      </c>
      <c r="E33" s="3" t="str">
        <f>IF(VLOOKUP($A33,学生考级成绩!$A:$E,5,0)=0,"",VLOOKUP($A33,学生考级成绩!$A:$E,5,0))</f>
        <v/>
      </c>
      <c r="F33" s="3" t="str">
        <f>IF(VLOOKUP($A33,学生考级成绩!$A:$F,6,0)=0,"",VLOOKUP($A33,学生考级成绩!$A:$F,6,0))</f>
        <v/>
      </c>
      <c r="G33" s="8">
        <v>45932</v>
      </c>
      <c r="H33" s="3">
        <v>12</v>
      </c>
      <c r="I33" s="3">
        <f t="shared" si="5"/>
        <v>1200</v>
      </c>
      <c r="J33" s="8">
        <f t="shared" si="6"/>
        <v>46016</v>
      </c>
      <c r="K33" s="7" t="b">
        <v>1</v>
      </c>
      <c r="L33" s="2">
        <v>12</v>
      </c>
      <c r="M33" s="2">
        <f t="shared" si="0"/>
        <v>1200</v>
      </c>
      <c r="N33" s="9">
        <f t="shared" si="1"/>
        <v>46100</v>
      </c>
      <c r="O33" s="7" t="b">
        <v>0</v>
      </c>
      <c r="Q33" s="2">
        <f t="shared" si="7"/>
        <v>0</v>
      </c>
      <c r="R33" s="9" t="str">
        <f t="shared" si="2"/>
        <v/>
      </c>
      <c r="S33" s="7" t="b">
        <v>0</v>
      </c>
      <c r="U33" s="2">
        <f t="shared" si="3"/>
        <v>0</v>
      </c>
      <c r="V33" s="9" t="str">
        <f t="shared" si="4"/>
        <v/>
      </c>
      <c r="W33" s="7" t="b">
        <v>0</v>
      </c>
    </row>
  </sheetData>
  <autoFilter ref="A1:V1" xr:uid="{241976BF-2C66-47C9-B3A6-DEAC430B4FDA}"/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A5595-401C-49F5-8DBB-A4FA9793A639}">
  <dimension ref="A1:P33"/>
  <sheetViews>
    <sheetView zoomScale="74" workbookViewId="0">
      <selection activeCell="K16" sqref="K16"/>
    </sheetView>
  </sheetViews>
  <sheetFormatPr defaultRowHeight="13.8" x14ac:dyDescent="0.25"/>
  <cols>
    <col min="1" max="2" width="8.88671875" style="4"/>
    <col min="3" max="3" width="8.88671875" style="2"/>
    <col min="4" max="6" width="13.44140625" style="4" customWidth="1"/>
    <col min="7" max="16384" width="8.88671875" style="4"/>
  </cols>
  <sheetData>
    <row r="1" spans="1:16" ht="28.2" thickBot="1" x14ac:dyDescent="0.3">
      <c r="A1" s="1" t="s">
        <v>0</v>
      </c>
      <c r="B1" s="1" t="s">
        <v>1</v>
      </c>
      <c r="C1" s="1" t="s">
        <v>14</v>
      </c>
      <c r="D1" s="1" t="s">
        <v>39</v>
      </c>
      <c r="E1" s="1" t="s">
        <v>48</v>
      </c>
      <c r="F1" s="1" t="s">
        <v>47</v>
      </c>
      <c r="P1" s="4" t="s">
        <v>50</v>
      </c>
    </row>
    <row r="2" spans="1:16" ht="14.4" thickBot="1" x14ac:dyDescent="0.3">
      <c r="A2" s="3">
        <v>1</v>
      </c>
      <c r="B2" s="3" t="s">
        <v>3</v>
      </c>
      <c r="C2" s="3" t="s">
        <v>15</v>
      </c>
      <c r="D2" s="3" t="s">
        <v>51</v>
      </c>
      <c r="E2" s="3"/>
      <c r="F2" s="3"/>
      <c r="P2" s="4" t="s">
        <v>52</v>
      </c>
    </row>
    <row r="3" spans="1:16" ht="14.4" thickBot="1" x14ac:dyDescent="0.3">
      <c r="A3" s="3">
        <v>2</v>
      </c>
      <c r="B3" s="3" t="s">
        <v>10</v>
      </c>
      <c r="C3" s="3" t="s">
        <v>16</v>
      </c>
      <c r="D3" s="3"/>
      <c r="E3" s="3" t="s">
        <v>55</v>
      </c>
      <c r="F3" s="3"/>
      <c r="P3" s="4" t="s">
        <v>54</v>
      </c>
    </row>
    <row r="4" spans="1:16" ht="14.4" thickBot="1" x14ac:dyDescent="0.3">
      <c r="A4" s="3">
        <v>3</v>
      </c>
      <c r="B4" s="3" t="s">
        <v>11</v>
      </c>
      <c r="C4" s="3" t="s">
        <v>15</v>
      </c>
      <c r="D4" s="3" t="s">
        <v>51</v>
      </c>
      <c r="E4" s="3"/>
      <c r="F4" s="3"/>
      <c r="P4" s="4" t="s">
        <v>56</v>
      </c>
    </row>
    <row r="5" spans="1:16" ht="14.4" thickBot="1" x14ac:dyDescent="0.3">
      <c r="A5" s="3">
        <v>4</v>
      </c>
      <c r="B5" s="3" t="s">
        <v>12</v>
      </c>
      <c r="C5" s="3" t="s">
        <v>15</v>
      </c>
      <c r="D5" s="3" t="s">
        <v>51</v>
      </c>
      <c r="E5" s="3"/>
      <c r="F5" s="3"/>
      <c r="P5" s="4" t="s">
        <v>57</v>
      </c>
    </row>
    <row r="6" spans="1:16" ht="14.4" thickBot="1" x14ac:dyDescent="0.3">
      <c r="A6" s="3">
        <v>5</v>
      </c>
      <c r="B6" s="3" t="s">
        <v>18</v>
      </c>
      <c r="C6" s="3" t="s">
        <v>17</v>
      </c>
      <c r="D6" s="3"/>
      <c r="E6" s="3"/>
      <c r="F6" s="3" t="s">
        <v>53</v>
      </c>
      <c r="P6" s="4" t="s">
        <v>58</v>
      </c>
    </row>
    <row r="7" spans="1:16" ht="14.4" thickBot="1" x14ac:dyDescent="0.3">
      <c r="A7" s="3">
        <v>6</v>
      </c>
      <c r="B7" s="3" t="s">
        <v>13</v>
      </c>
      <c r="C7" s="3" t="s">
        <v>15</v>
      </c>
      <c r="D7" s="3" t="s">
        <v>51</v>
      </c>
      <c r="E7" s="3"/>
      <c r="F7" s="3"/>
      <c r="P7" s="4" t="s">
        <v>59</v>
      </c>
    </row>
    <row r="8" spans="1:16" ht="14.4" thickBot="1" x14ac:dyDescent="0.3">
      <c r="A8" s="3">
        <v>7</v>
      </c>
      <c r="B8" s="3" t="s">
        <v>20</v>
      </c>
      <c r="C8" s="3" t="s">
        <v>15</v>
      </c>
      <c r="D8" s="3" t="s">
        <v>51</v>
      </c>
      <c r="E8" s="3"/>
      <c r="F8" s="3"/>
      <c r="P8" s="4" t="s">
        <v>60</v>
      </c>
    </row>
    <row r="9" spans="1:16" ht="14.4" thickBot="1" x14ac:dyDescent="0.3">
      <c r="A9" s="3">
        <v>8</v>
      </c>
      <c r="B9" s="3" t="s">
        <v>8</v>
      </c>
      <c r="C9" s="3" t="s">
        <v>15</v>
      </c>
      <c r="D9" s="3" t="s">
        <v>51</v>
      </c>
      <c r="E9" s="3"/>
      <c r="F9" s="3"/>
      <c r="P9" s="4" t="s">
        <v>61</v>
      </c>
    </row>
    <row r="10" spans="1:16" ht="14.4" thickBot="1" x14ac:dyDescent="0.3">
      <c r="A10" s="3">
        <v>9</v>
      </c>
      <c r="B10" s="3" t="s">
        <v>21</v>
      </c>
      <c r="C10" s="3" t="s">
        <v>15</v>
      </c>
      <c r="D10" s="3" t="s">
        <v>49</v>
      </c>
      <c r="E10" s="3"/>
      <c r="F10" s="3"/>
      <c r="P10" s="4" t="s">
        <v>62</v>
      </c>
    </row>
    <row r="11" spans="1:16" ht="14.4" thickBot="1" x14ac:dyDescent="0.3">
      <c r="A11" s="3">
        <v>10</v>
      </c>
      <c r="B11" s="3" t="s">
        <v>22</v>
      </c>
      <c r="C11" s="3" t="s">
        <v>15</v>
      </c>
      <c r="D11" s="3" t="s">
        <v>51</v>
      </c>
      <c r="E11" s="3"/>
      <c r="F11" s="3"/>
    </row>
    <row r="12" spans="1:16" ht="14.4" thickBot="1" x14ac:dyDescent="0.3">
      <c r="A12" s="3">
        <v>11</v>
      </c>
      <c r="B12" s="3" t="s">
        <v>23</v>
      </c>
      <c r="C12" s="3" t="s">
        <v>15</v>
      </c>
      <c r="D12" s="3" t="s">
        <v>49</v>
      </c>
      <c r="E12" s="3"/>
      <c r="F12" s="3"/>
    </row>
    <row r="13" spans="1:16" ht="14.4" thickBot="1" x14ac:dyDescent="0.3">
      <c r="A13" s="3">
        <v>12</v>
      </c>
      <c r="B13" s="3" t="s">
        <v>4</v>
      </c>
      <c r="C13" s="3" t="s">
        <v>15</v>
      </c>
      <c r="D13" s="3" t="s">
        <v>53</v>
      </c>
      <c r="E13" s="3"/>
      <c r="F13" s="3"/>
    </row>
    <row r="14" spans="1:16" ht="14.4" thickBot="1" x14ac:dyDescent="0.3">
      <c r="A14" s="3">
        <v>13</v>
      </c>
      <c r="B14" s="3" t="s">
        <v>5</v>
      </c>
      <c r="C14" s="3" t="s">
        <v>15</v>
      </c>
      <c r="D14" s="3" t="s">
        <v>51</v>
      </c>
      <c r="E14" s="3"/>
      <c r="F14" s="3"/>
    </row>
    <row r="15" spans="1:16" ht="14.4" thickBot="1" x14ac:dyDescent="0.3">
      <c r="A15" s="3">
        <v>14</v>
      </c>
      <c r="B15" s="3" t="s">
        <v>24</v>
      </c>
      <c r="C15" s="3" t="s">
        <v>16</v>
      </c>
      <c r="D15" s="3"/>
      <c r="E15" s="3" t="s">
        <v>53</v>
      </c>
      <c r="F15" s="3"/>
    </row>
    <row r="16" spans="1:16" ht="14.4" thickBot="1" x14ac:dyDescent="0.3">
      <c r="A16" s="3">
        <v>15</v>
      </c>
      <c r="B16" s="3" t="s">
        <v>25</v>
      </c>
      <c r="C16" s="3" t="s">
        <v>16</v>
      </c>
      <c r="D16" s="3"/>
      <c r="E16" s="3" t="s">
        <v>51</v>
      </c>
      <c r="F16" s="3"/>
    </row>
    <row r="17" spans="1:6" ht="14.4" thickBot="1" x14ac:dyDescent="0.3">
      <c r="A17" s="3">
        <v>16</v>
      </c>
      <c r="B17" s="3" t="s">
        <v>26</v>
      </c>
      <c r="C17" s="3" t="s">
        <v>15</v>
      </c>
      <c r="D17" s="3" t="s">
        <v>51</v>
      </c>
      <c r="E17" s="3"/>
      <c r="F17" s="3"/>
    </row>
    <row r="18" spans="1:6" ht="14.4" thickBot="1" x14ac:dyDescent="0.3">
      <c r="A18" s="3">
        <v>17</v>
      </c>
      <c r="B18" s="3" t="s">
        <v>27</v>
      </c>
      <c r="C18" s="3" t="s">
        <v>15</v>
      </c>
      <c r="D18" s="3" t="s">
        <v>51</v>
      </c>
      <c r="E18" s="3"/>
      <c r="F18" s="3"/>
    </row>
    <row r="19" spans="1:6" ht="14.4" thickBot="1" x14ac:dyDescent="0.3">
      <c r="A19" s="3">
        <v>18</v>
      </c>
      <c r="B19" s="3" t="s">
        <v>28</v>
      </c>
      <c r="C19" s="3" t="s">
        <v>15</v>
      </c>
      <c r="D19" s="3" t="s">
        <v>51</v>
      </c>
      <c r="E19" s="3"/>
      <c r="F19" s="3"/>
    </row>
    <row r="20" spans="1:6" ht="14.4" thickBot="1" x14ac:dyDescent="0.3">
      <c r="A20" s="3">
        <v>19</v>
      </c>
      <c r="B20" s="3" t="s">
        <v>9</v>
      </c>
      <c r="C20" s="3" t="s">
        <v>15</v>
      </c>
      <c r="D20" s="3" t="s">
        <v>51</v>
      </c>
      <c r="E20" s="3"/>
      <c r="F20" s="3"/>
    </row>
    <row r="21" spans="1:6" ht="14.4" thickBot="1" x14ac:dyDescent="0.3">
      <c r="A21" s="3">
        <v>20</v>
      </c>
      <c r="B21" s="3" t="s">
        <v>29</v>
      </c>
      <c r="C21" s="3" t="s">
        <v>15</v>
      </c>
      <c r="D21" s="3" t="s">
        <v>51</v>
      </c>
      <c r="E21" s="3"/>
      <c r="F21" s="3"/>
    </row>
    <row r="22" spans="1:6" ht="14.4" thickBot="1" x14ac:dyDescent="0.3">
      <c r="A22" s="3">
        <v>21</v>
      </c>
      <c r="B22" s="3" t="s">
        <v>6</v>
      </c>
      <c r="C22" s="3" t="s">
        <v>17</v>
      </c>
      <c r="D22" s="3"/>
      <c r="E22" s="3"/>
      <c r="F22" s="3" t="s">
        <v>51</v>
      </c>
    </row>
    <row r="23" spans="1:6" ht="14.4" thickBot="1" x14ac:dyDescent="0.3">
      <c r="A23" s="3">
        <v>22</v>
      </c>
      <c r="B23" s="3" t="s">
        <v>30</v>
      </c>
      <c r="C23" s="3" t="s">
        <v>17</v>
      </c>
      <c r="D23" s="3"/>
      <c r="E23" s="3"/>
      <c r="F23" s="3" t="s">
        <v>51</v>
      </c>
    </row>
    <row r="24" spans="1:6" ht="14.4" thickBot="1" x14ac:dyDescent="0.3">
      <c r="A24" s="3">
        <v>23</v>
      </c>
      <c r="B24" s="3" t="s">
        <v>31</v>
      </c>
      <c r="C24" s="3" t="s">
        <v>17</v>
      </c>
      <c r="D24" s="3"/>
      <c r="E24" s="3"/>
      <c r="F24" s="3" t="s">
        <v>51</v>
      </c>
    </row>
    <row r="25" spans="1:6" ht="14.4" thickBot="1" x14ac:dyDescent="0.3">
      <c r="A25" s="3">
        <v>24</v>
      </c>
      <c r="B25" s="3" t="s">
        <v>32</v>
      </c>
      <c r="C25" s="3" t="s">
        <v>15</v>
      </c>
      <c r="D25" s="3" t="s">
        <v>51</v>
      </c>
      <c r="E25" s="3"/>
      <c r="F25" s="3"/>
    </row>
    <row r="26" spans="1:6" ht="14.4" thickBot="1" x14ac:dyDescent="0.3">
      <c r="A26" s="3">
        <v>25</v>
      </c>
      <c r="B26" s="3" t="s">
        <v>33</v>
      </c>
      <c r="C26" s="3" t="s">
        <v>17</v>
      </c>
      <c r="D26" s="3"/>
      <c r="E26" s="3"/>
      <c r="F26" s="3" t="s">
        <v>49</v>
      </c>
    </row>
    <row r="27" spans="1:6" ht="14.4" thickBot="1" x14ac:dyDescent="0.3">
      <c r="A27" s="3">
        <v>26</v>
      </c>
      <c r="B27" s="3" t="s">
        <v>34</v>
      </c>
      <c r="C27" s="3" t="s">
        <v>16</v>
      </c>
      <c r="D27" s="3"/>
      <c r="E27" s="3" t="s">
        <v>49</v>
      </c>
      <c r="F27" s="3"/>
    </row>
    <row r="28" spans="1:6" ht="14.4" thickBot="1" x14ac:dyDescent="0.3">
      <c r="A28" s="3">
        <v>27</v>
      </c>
      <c r="B28" s="3" t="s">
        <v>7</v>
      </c>
      <c r="C28" s="3" t="s">
        <v>17</v>
      </c>
      <c r="D28" s="3"/>
      <c r="E28" s="3"/>
      <c r="F28" s="3" t="s">
        <v>49</v>
      </c>
    </row>
    <row r="29" spans="1:6" ht="14.4" thickBot="1" x14ac:dyDescent="0.3">
      <c r="A29" s="3">
        <v>28</v>
      </c>
      <c r="B29" s="3" t="s">
        <v>35</v>
      </c>
      <c r="C29" s="3" t="s">
        <v>16</v>
      </c>
      <c r="D29" s="3"/>
      <c r="E29" s="3" t="s">
        <v>51</v>
      </c>
      <c r="F29" s="3"/>
    </row>
    <row r="30" spans="1:6" ht="14.4" thickBot="1" x14ac:dyDescent="0.3">
      <c r="A30" s="3">
        <v>29</v>
      </c>
      <c r="B30" s="3" t="s">
        <v>36</v>
      </c>
      <c r="C30" s="3" t="s">
        <v>15</v>
      </c>
      <c r="D30" s="3" t="s">
        <v>49</v>
      </c>
      <c r="E30" s="3"/>
      <c r="F30" s="3"/>
    </row>
    <row r="31" spans="1:6" ht="14.4" thickBot="1" x14ac:dyDescent="0.3">
      <c r="A31" s="3">
        <v>30</v>
      </c>
      <c r="B31" s="3" t="s">
        <v>37</v>
      </c>
      <c r="C31" s="3" t="s">
        <v>15</v>
      </c>
      <c r="D31" s="3" t="s">
        <v>49</v>
      </c>
      <c r="E31" s="3"/>
      <c r="F31" s="3"/>
    </row>
    <row r="32" spans="1:6" ht="14.4" thickBot="1" x14ac:dyDescent="0.3">
      <c r="A32" s="3">
        <v>31</v>
      </c>
      <c r="B32" s="3" t="s">
        <v>19</v>
      </c>
      <c r="C32" s="3" t="s">
        <v>15</v>
      </c>
      <c r="D32" s="3" t="s">
        <v>49</v>
      </c>
      <c r="E32" s="3"/>
      <c r="F32" s="3"/>
    </row>
    <row r="33" spans="1:6" ht="14.4" thickBot="1" x14ac:dyDescent="0.3">
      <c r="A33" s="3">
        <v>32</v>
      </c>
      <c r="B33" s="3" t="s">
        <v>38</v>
      </c>
      <c r="C33" s="3" t="s">
        <v>15</v>
      </c>
      <c r="D33" s="3"/>
      <c r="E33" s="3"/>
      <c r="F33" s="3"/>
    </row>
  </sheetData>
  <autoFilter ref="A1:F1" xr:uid="{633A5595-401C-49F5-8DBB-A4FA9793A639}"/>
  <phoneticPr fontId="2" type="noConversion"/>
  <dataValidations count="3">
    <dataValidation type="list" allowBlank="1" showInputMessage="1" showErrorMessage="1" sqref="D2:D33" xr:uid="{E9172542-4232-4244-B651-57B7F98DB373}">
      <formula1>$P$1:$P$5</formula1>
    </dataValidation>
    <dataValidation type="list" allowBlank="1" showInputMessage="1" showErrorMessage="1" sqref="E2:E33" xr:uid="{F388FA79-F280-4896-8B7C-600D05CD9DDD}">
      <formula1>$P$1:$P$10</formula1>
    </dataValidation>
    <dataValidation type="list" allowBlank="1" showInputMessage="1" showErrorMessage="1" sqref="F2:F33" xr:uid="{65A075C1-31C6-42EF-ADC5-2B69B4EAA847}">
      <formula1>$P$1:$P$8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01331-C013-4FAC-8E6E-F0B736116E4E}">
  <dimension ref="A1:U33"/>
  <sheetViews>
    <sheetView zoomScale="74" workbookViewId="0">
      <selection activeCell="E10" sqref="E10"/>
    </sheetView>
  </sheetViews>
  <sheetFormatPr defaultRowHeight="13.8" x14ac:dyDescent="0.25"/>
  <cols>
    <col min="1" max="2" width="8.88671875" style="4"/>
    <col min="3" max="3" width="8.88671875" style="2"/>
    <col min="8" max="8" width="11" customWidth="1"/>
  </cols>
  <sheetData>
    <row r="1" spans="1:21" ht="14.4" thickBot="1" x14ac:dyDescent="0.3">
      <c r="A1" s="1" t="s">
        <v>0</v>
      </c>
      <c r="B1" s="1" t="s">
        <v>1</v>
      </c>
      <c r="C1" s="1" t="s">
        <v>14</v>
      </c>
      <c r="D1" s="1" t="s">
        <v>41</v>
      </c>
      <c r="E1" s="1" t="s">
        <v>40</v>
      </c>
      <c r="F1" s="1" t="s">
        <v>42</v>
      </c>
      <c r="G1" s="1" t="s">
        <v>76</v>
      </c>
      <c r="H1" s="1" t="s">
        <v>77</v>
      </c>
      <c r="L1" s="28" t="s">
        <v>68</v>
      </c>
      <c r="M1" s="28"/>
      <c r="N1" s="28"/>
      <c r="O1" s="28"/>
      <c r="P1" s="28"/>
      <c r="Q1" s="28"/>
      <c r="R1" s="28"/>
      <c r="U1" t="s">
        <v>44</v>
      </c>
    </row>
    <row r="2" spans="1:21" ht="14.4" thickBot="1" x14ac:dyDescent="0.3">
      <c r="A2" s="3">
        <v>1</v>
      </c>
      <c r="B2" s="3" t="s">
        <v>3</v>
      </c>
      <c r="C2" s="3" t="s">
        <v>15</v>
      </c>
      <c r="D2" s="7" t="b">
        <v>0</v>
      </c>
      <c r="E2" t="s">
        <v>43</v>
      </c>
      <c r="L2" s="28"/>
      <c r="M2" s="28"/>
      <c r="N2" s="28"/>
      <c r="O2" s="28"/>
      <c r="P2" s="28"/>
      <c r="Q2" s="28"/>
      <c r="R2" s="28"/>
      <c r="U2" t="s">
        <v>46</v>
      </c>
    </row>
    <row r="3" spans="1:21" ht="14.4" thickBot="1" x14ac:dyDescent="0.3">
      <c r="A3" s="3">
        <v>2</v>
      </c>
      <c r="B3" s="3" t="s">
        <v>10</v>
      </c>
      <c r="C3" s="3" t="s">
        <v>16</v>
      </c>
      <c r="D3" s="7" t="b">
        <v>1</v>
      </c>
      <c r="E3" t="s">
        <v>45</v>
      </c>
    </row>
    <row r="4" spans="1:21" ht="14.4" thickBot="1" x14ac:dyDescent="0.3">
      <c r="A4" s="3">
        <v>3</v>
      </c>
      <c r="B4" s="3" t="s">
        <v>11</v>
      </c>
      <c r="C4" s="3" t="s">
        <v>15</v>
      </c>
      <c r="D4" s="7" t="b">
        <v>1</v>
      </c>
      <c r="E4" t="s">
        <v>45</v>
      </c>
      <c r="L4" s="33" t="s">
        <v>69</v>
      </c>
      <c r="M4" s="33"/>
      <c r="N4" s="33"/>
      <c r="O4" s="33"/>
      <c r="P4" s="33"/>
      <c r="Q4" s="33"/>
      <c r="R4" s="33"/>
    </row>
    <row r="5" spans="1:21" ht="14.4" thickBot="1" x14ac:dyDescent="0.3">
      <c r="A5" s="3">
        <v>4</v>
      </c>
      <c r="B5" s="3" t="s">
        <v>12</v>
      </c>
      <c r="C5" s="3" t="s">
        <v>15</v>
      </c>
      <c r="D5" s="7" t="b">
        <v>1</v>
      </c>
      <c r="E5" t="s">
        <v>45</v>
      </c>
      <c r="L5" s="33"/>
      <c r="M5" s="33"/>
      <c r="N5" s="33"/>
      <c r="O5" s="33"/>
      <c r="P5" s="33"/>
      <c r="Q5" s="33"/>
      <c r="R5" s="33"/>
    </row>
    <row r="6" spans="1:21" ht="14.4" thickBot="1" x14ac:dyDescent="0.3">
      <c r="A6" s="3">
        <v>5</v>
      </c>
      <c r="B6" s="3" t="s">
        <v>18</v>
      </c>
      <c r="C6" s="3" t="s">
        <v>17</v>
      </c>
      <c r="D6" s="7" t="b">
        <v>1</v>
      </c>
      <c r="E6" t="s">
        <v>45</v>
      </c>
      <c r="L6" s="33"/>
      <c r="M6" s="33"/>
      <c r="N6" s="33"/>
      <c r="O6" s="33"/>
      <c r="P6" s="33"/>
      <c r="Q6" s="33"/>
      <c r="R6" s="33"/>
    </row>
    <row r="7" spans="1:21" ht="14.4" thickBot="1" x14ac:dyDescent="0.3">
      <c r="A7" s="3">
        <v>6</v>
      </c>
      <c r="B7" s="3" t="s">
        <v>13</v>
      </c>
      <c r="C7" s="3" t="s">
        <v>15</v>
      </c>
      <c r="D7" s="7" t="b">
        <v>0</v>
      </c>
      <c r="E7" t="s">
        <v>43</v>
      </c>
    </row>
    <row r="8" spans="1:21" ht="14.4" thickBot="1" x14ac:dyDescent="0.3">
      <c r="A8" s="3">
        <v>7</v>
      </c>
      <c r="B8" s="3" t="s">
        <v>20</v>
      </c>
      <c r="C8" s="3" t="s">
        <v>15</v>
      </c>
      <c r="D8" s="7" t="b">
        <v>0</v>
      </c>
      <c r="E8" t="s">
        <v>43</v>
      </c>
      <c r="L8" s="34" t="s">
        <v>70</v>
      </c>
      <c r="M8" s="33"/>
      <c r="N8" s="33"/>
      <c r="O8" s="33"/>
      <c r="P8" s="33"/>
      <c r="Q8" s="33"/>
      <c r="R8" s="33"/>
    </row>
    <row r="9" spans="1:21" ht="14.4" thickBot="1" x14ac:dyDescent="0.3">
      <c r="A9" s="3">
        <v>8</v>
      </c>
      <c r="B9" s="3" t="s">
        <v>8</v>
      </c>
      <c r="C9" s="3" t="s">
        <v>15</v>
      </c>
      <c r="D9" s="7" t="b">
        <v>1</v>
      </c>
      <c r="E9" t="s">
        <v>45</v>
      </c>
      <c r="L9" s="33"/>
      <c r="M9" s="33"/>
      <c r="N9" s="33"/>
      <c r="O9" s="33"/>
      <c r="P9" s="33"/>
      <c r="Q9" s="33"/>
      <c r="R9" s="33"/>
    </row>
    <row r="10" spans="1:21" ht="14.4" thickBot="1" x14ac:dyDescent="0.3">
      <c r="A10" s="3">
        <v>9</v>
      </c>
      <c r="B10" s="3" t="s">
        <v>21</v>
      </c>
      <c r="C10" s="3" t="s">
        <v>15</v>
      </c>
      <c r="D10" s="7" t="b">
        <v>1</v>
      </c>
      <c r="E10" t="s">
        <v>45</v>
      </c>
      <c r="L10" s="33"/>
      <c r="M10" s="33"/>
      <c r="N10" s="33"/>
      <c r="O10" s="33"/>
      <c r="P10" s="33"/>
      <c r="Q10" s="33"/>
      <c r="R10" s="33"/>
    </row>
    <row r="11" spans="1:21" ht="14.4" thickBot="1" x14ac:dyDescent="0.3">
      <c r="A11" s="3">
        <v>10</v>
      </c>
      <c r="B11" s="3" t="s">
        <v>22</v>
      </c>
      <c r="C11" s="3" t="s">
        <v>15</v>
      </c>
      <c r="D11" s="7" t="b">
        <v>0</v>
      </c>
      <c r="E11" t="s">
        <v>43</v>
      </c>
      <c r="L11" s="33"/>
      <c r="M11" s="33"/>
      <c r="N11" s="33"/>
      <c r="O11" s="33"/>
      <c r="P11" s="33"/>
      <c r="Q11" s="33"/>
      <c r="R11" s="33"/>
    </row>
    <row r="12" spans="1:21" ht="14.4" thickBot="1" x14ac:dyDescent="0.3">
      <c r="A12" s="3">
        <v>11</v>
      </c>
      <c r="B12" s="3" t="s">
        <v>23</v>
      </c>
      <c r="C12" s="3" t="s">
        <v>15</v>
      </c>
      <c r="D12" s="7" t="b">
        <v>0</v>
      </c>
      <c r="E12" t="s">
        <v>43</v>
      </c>
      <c r="L12" s="33"/>
      <c r="M12" s="33"/>
      <c r="N12" s="33"/>
      <c r="O12" s="33"/>
      <c r="P12" s="33"/>
      <c r="Q12" s="33"/>
      <c r="R12" s="33"/>
    </row>
    <row r="13" spans="1:21" ht="14.4" thickBot="1" x14ac:dyDescent="0.3">
      <c r="A13" s="3">
        <v>12</v>
      </c>
      <c r="B13" s="3" t="s">
        <v>4</v>
      </c>
      <c r="C13" s="3" t="s">
        <v>15</v>
      </c>
      <c r="D13" s="7" t="b">
        <v>0</v>
      </c>
      <c r="E13" t="s">
        <v>43</v>
      </c>
      <c r="L13" s="33"/>
      <c r="M13" s="33"/>
      <c r="N13" s="33"/>
      <c r="O13" s="33"/>
      <c r="P13" s="33"/>
      <c r="Q13" s="33"/>
      <c r="R13" s="33"/>
    </row>
    <row r="14" spans="1:21" ht="14.4" thickBot="1" x14ac:dyDescent="0.3">
      <c r="A14" s="3">
        <v>13</v>
      </c>
      <c r="B14" s="3" t="s">
        <v>5</v>
      </c>
      <c r="C14" s="3" t="s">
        <v>15</v>
      </c>
      <c r="D14" s="7" t="b">
        <v>0</v>
      </c>
      <c r="E14" t="s">
        <v>43</v>
      </c>
      <c r="L14" s="33"/>
      <c r="M14" s="33"/>
      <c r="N14" s="33"/>
      <c r="O14" s="33"/>
      <c r="P14" s="33"/>
      <c r="Q14" s="33"/>
      <c r="R14" s="33"/>
    </row>
    <row r="15" spans="1:21" ht="14.4" thickBot="1" x14ac:dyDescent="0.3">
      <c r="A15" s="3">
        <v>14</v>
      </c>
      <c r="B15" s="3" t="s">
        <v>24</v>
      </c>
      <c r="C15" s="3" t="s">
        <v>16</v>
      </c>
      <c r="D15" s="7" t="b">
        <v>1</v>
      </c>
      <c r="E15" t="s">
        <v>43</v>
      </c>
      <c r="L15" s="33"/>
      <c r="M15" s="33"/>
      <c r="N15" s="33"/>
      <c r="O15" s="33"/>
      <c r="P15" s="33"/>
      <c r="Q15" s="33"/>
      <c r="R15" s="33"/>
    </row>
    <row r="16" spans="1:21" ht="14.4" thickBot="1" x14ac:dyDescent="0.3">
      <c r="A16" s="3">
        <v>15</v>
      </c>
      <c r="B16" s="3" t="s">
        <v>25</v>
      </c>
      <c r="C16" s="3" t="s">
        <v>16</v>
      </c>
      <c r="D16" s="7" t="b">
        <v>1</v>
      </c>
      <c r="E16" t="s">
        <v>43</v>
      </c>
    </row>
    <row r="17" spans="1:18" ht="14.4" thickBot="1" x14ac:dyDescent="0.3">
      <c r="A17" s="3">
        <v>16</v>
      </c>
      <c r="B17" s="3" t="s">
        <v>26</v>
      </c>
      <c r="C17" s="3" t="s">
        <v>15</v>
      </c>
      <c r="D17" s="7" t="b">
        <v>0</v>
      </c>
      <c r="L17" s="34" t="s">
        <v>71</v>
      </c>
      <c r="M17" s="33"/>
      <c r="N17" s="33"/>
      <c r="O17" s="33"/>
      <c r="P17" s="33"/>
      <c r="Q17" s="33"/>
      <c r="R17" s="33"/>
    </row>
    <row r="18" spans="1:18" ht="14.4" thickBot="1" x14ac:dyDescent="0.3">
      <c r="A18" s="3">
        <v>17</v>
      </c>
      <c r="B18" s="3" t="s">
        <v>27</v>
      </c>
      <c r="C18" s="3" t="s">
        <v>15</v>
      </c>
      <c r="D18" s="7" t="b">
        <v>0</v>
      </c>
      <c r="L18" s="33"/>
      <c r="M18" s="33"/>
      <c r="N18" s="33"/>
      <c r="O18" s="33"/>
      <c r="P18" s="33"/>
      <c r="Q18" s="33"/>
      <c r="R18" s="33"/>
    </row>
    <row r="19" spans="1:18" ht="14.4" thickBot="1" x14ac:dyDescent="0.3">
      <c r="A19" s="3">
        <v>18</v>
      </c>
      <c r="B19" s="3" t="s">
        <v>28</v>
      </c>
      <c r="C19" s="3" t="s">
        <v>15</v>
      </c>
      <c r="D19" s="7" t="b">
        <v>0</v>
      </c>
      <c r="L19" s="33"/>
      <c r="M19" s="33"/>
      <c r="N19" s="33"/>
      <c r="O19" s="33"/>
      <c r="P19" s="33"/>
      <c r="Q19" s="33"/>
      <c r="R19" s="33"/>
    </row>
    <row r="20" spans="1:18" ht="14.4" thickBot="1" x14ac:dyDescent="0.3">
      <c r="A20" s="3">
        <v>19</v>
      </c>
      <c r="B20" s="3" t="s">
        <v>9</v>
      </c>
      <c r="C20" s="3" t="s">
        <v>15</v>
      </c>
      <c r="D20" s="7" t="b">
        <v>0</v>
      </c>
      <c r="L20" s="33"/>
      <c r="M20" s="33"/>
      <c r="N20" s="33"/>
      <c r="O20" s="33"/>
      <c r="P20" s="33"/>
      <c r="Q20" s="33"/>
      <c r="R20" s="33"/>
    </row>
    <row r="21" spans="1:18" ht="14.4" thickBot="1" x14ac:dyDescent="0.3">
      <c r="A21" s="3">
        <v>20</v>
      </c>
      <c r="B21" s="3" t="s">
        <v>29</v>
      </c>
      <c r="C21" s="3" t="s">
        <v>15</v>
      </c>
      <c r="D21" s="7" t="b">
        <v>0</v>
      </c>
      <c r="L21" s="33"/>
      <c r="M21" s="33"/>
      <c r="N21" s="33"/>
      <c r="O21" s="33"/>
      <c r="P21" s="33"/>
      <c r="Q21" s="33"/>
      <c r="R21" s="33"/>
    </row>
    <row r="22" spans="1:18" ht="14.4" thickBot="1" x14ac:dyDescent="0.3">
      <c r="A22" s="3">
        <v>21</v>
      </c>
      <c r="B22" s="3" t="s">
        <v>6</v>
      </c>
      <c r="C22" s="3" t="s">
        <v>17</v>
      </c>
      <c r="D22" s="7" t="b">
        <v>0</v>
      </c>
      <c r="L22" s="33"/>
      <c r="M22" s="33"/>
      <c r="N22" s="33"/>
      <c r="O22" s="33"/>
      <c r="P22" s="33"/>
      <c r="Q22" s="33"/>
      <c r="R22" s="33"/>
    </row>
    <row r="23" spans="1:18" ht="14.4" thickBot="1" x14ac:dyDescent="0.3">
      <c r="A23" s="3">
        <v>22</v>
      </c>
      <c r="B23" s="3" t="s">
        <v>30</v>
      </c>
      <c r="C23" s="3" t="s">
        <v>17</v>
      </c>
      <c r="D23" s="7" t="b">
        <v>0</v>
      </c>
      <c r="L23" s="33"/>
      <c r="M23" s="33"/>
      <c r="N23" s="33"/>
      <c r="O23" s="33"/>
      <c r="P23" s="33"/>
      <c r="Q23" s="33"/>
      <c r="R23" s="33"/>
    </row>
    <row r="24" spans="1:18" ht="14.4" thickBot="1" x14ac:dyDescent="0.3">
      <c r="A24" s="3">
        <v>23</v>
      </c>
      <c r="B24" s="3" t="s">
        <v>31</v>
      </c>
      <c r="C24" s="3" t="s">
        <v>17</v>
      </c>
      <c r="D24" s="7" t="b">
        <v>0</v>
      </c>
      <c r="L24" s="33"/>
      <c r="M24" s="33"/>
      <c r="N24" s="33"/>
      <c r="O24" s="33"/>
      <c r="P24" s="33"/>
      <c r="Q24" s="33"/>
      <c r="R24" s="33"/>
    </row>
    <row r="25" spans="1:18" ht="14.4" thickBot="1" x14ac:dyDescent="0.3">
      <c r="A25" s="3">
        <v>24</v>
      </c>
      <c r="B25" s="3" t="s">
        <v>32</v>
      </c>
      <c r="C25" s="3" t="s">
        <v>15</v>
      </c>
      <c r="D25" s="7" t="b">
        <v>0</v>
      </c>
    </row>
    <row r="26" spans="1:18" ht="14.4" thickBot="1" x14ac:dyDescent="0.3">
      <c r="A26" s="3">
        <v>25</v>
      </c>
      <c r="B26" s="3" t="s">
        <v>33</v>
      </c>
      <c r="C26" s="3" t="s">
        <v>17</v>
      </c>
      <c r="D26" s="7" t="b">
        <v>0</v>
      </c>
    </row>
    <row r="27" spans="1:18" ht="14.4" thickBot="1" x14ac:dyDescent="0.3">
      <c r="A27" s="3">
        <v>26</v>
      </c>
      <c r="B27" s="3" t="s">
        <v>34</v>
      </c>
      <c r="C27" s="3" t="s">
        <v>16</v>
      </c>
      <c r="D27" s="7" t="b">
        <v>0</v>
      </c>
    </row>
    <row r="28" spans="1:18" ht="14.4" thickBot="1" x14ac:dyDescent="0.3">
      <c r="A28" s="3">
        <v>27</v>
      </c>
      <c r="B28" s="3" t="s">
        <v>7</v>
      </c>
      <c r="C28" s="3" t="s">
        <v>17</v>
      </c>
      <c r="D28" s="7" t="b">
        <v>0</v>
      </c>
    </row>
    <row r="29" spans="1:18" ht="14.4" thickBot="1" x14ac:dyDescent="0.3">
      <c r="A29" s="3">
        <v>28</v>
      </c>
      <c r="B29" s="3" t="s">
        <v>35</v>
      </c>
      <c r="C29" s="3" t="s">
        <v>16</v>
      </c>
      <c r="D29" s="7" t="b">
        <v>0</v>
      </c>
    </row>
    <row r="30" spans="1:18" ht="14.4" thickBot="1" x14ac:dyDescent="0.3">
      <c r="A30" s="3">
        <v>29</v>
      </c>
      <c r="B30" s="3" t="s">
        <v>36</v>
      </c>
      <c r="C30" s="3" t="s">
        <v>15</v>
      </c>
      <c r="D30" s="7" t="b">
        <v>0</v>
      </c>
    </row>
    <row r="31" spans="1:18" ht="14.4" thickBot="1" x14ac:dyDescent="0.3">
      <c r="A31" s="3">
        <v>30</v>
      </c>
      <c r="B31" s="3" t="s">
        <v>37</v>
      </c>
      <c r="C31" s="3" t="s">
        <v>15</v>
      </c>
      <c r="D31" s="7" t="b">
        <v>0</v>
      </c>
    </row>
    <row r="32" spans="1:18" ht="14.4" thickBot="1" x14ac:dyDescent="0.3">
      <c r="A32" s="3">
        <v>31</v>
      </c>
      <c r="B32" s="3" t="s">
        <v>19</v>
      </c>
      <c r="C32" s="3" t="s">
        <v>15</v>
      </c>
      <c r="D32" s="7" t="b">
        <v>0</v>
      </c>
    </row>
    <row r="33" spans="1:4" ht="14.4" thickBot="1" x14ac:dyDescent="0.3">
      <c r="A33" s="3">
        <v>32</v>
      </c>
      <c r="B33" s="3" t="s">
        <v>38</v>
      </c>
      <c r="C33" s="3" t="s">
        <v>15</v>
      </c>
      <c r="D33" s="7" t="b">
        <v>0</v>
      </c>
    </row>
  </sheetData>
  <autoFilter ref="B1:H1" xr:uid="{2F801331-C013-4FAC-8E6E-F0B736116E4E}"/>
  <mergeCells count="4">
    <mergeCell ref="L1:R2"/>
    <mergeCell ref="L4:R6"/>
    <mergeCell ref="L8:R15"/>
    <mergeCell ref="L17:R24"/>
  </mergeCells>
  <phoneticPr fontId="2" type="noConversion"/>
  <dataValidations count="1">
    <dataValidation type="list" allowBlank="1" showInputMessage="1" showErrorMessage="1" sqref="E2:E33" xr:uid="{4DEBEC9B-A1EA-488D-9F20-72786706148B}">
      <formula1>$U$1:$U$2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1686B-6102-41C9-BEB8-62DA12112A09}">
  <dimension ref="A1:T33"/>
  <sheetViews>
    <sheetView zoomScale="80" workbookViewId="0">
      <selection activeCell="H17" sqref="H17"/>
    </sheetView>
  </sheetViews>
  <sheetFormatPr defaultRowHeight="13.8" x14ac:dyDescent="0.25"/>
  <cols>
    <col min="1" max="2" width="8.88671875" style="4"/>
    <col min="3" max="3" width="8.88671875" style="2"/>
    <col min="6" max="6" width="12.33203125" customWidth="1"/>
  </cols>
  <sheetData>
    <row r="1" spans="1:20" ht="14.4" thickBot="1" x14ac:dyDescent="0.3">
      <c r="A1" s="1" t="s">
        <v>0</v>
      </c>
      <c r="B1" s="1" t="s">
        <v>1</v>
      </c>
      <c r="C1" s="1" t="s">
        <v>14</v>
      </c>
      <c r="D1" s="1" t="s">
        <v>41</v>
      </c>
      <c r="E1" s="1" t="s">
        <v>40</v>
      </c>
      <c r="F1" s="1" t="s">
        <v>78</v>
      </c>
      <c r="G1" s="1" t="s">
        <v>79</v>
      </c>
      <c r="K1" s="28" t="s">
        <v>72</v>
      </c>
      <c r="L1" s="28"/>
      <c r="M1" s="28"/>
      <c r="N1" s="28"/>
      <c r="O1" s="28"/>
      <c r="P1" s="28"/>
      <c r="T1" t="s">
        <v>44</v>
      </c>
    </row>
    <row r="2" spans="1:20" ht="14.4" thickBot="1" x14ac:dyDescent="0.3">
      <c r="A2" s="3">
        <v>1</v>
      </c>
      <c r="B2" s="3" t="s">
        <v>3</v>
      </c>
      <c r="C2" s="3" t="s">
        <v>15</v>
      </c>
      <c r="D2" s="7" t="b">
        <v>1</v>
      </c>
      <c r="E2" t="s">
        <v>43</v>
      </c>
      <c r="K2" s="28"/>
      <c r="L2" s="28"/>
      <c r="M2" s="28"/>
      <c r="N2" s="28"/>
      <c r="O2" s="28"/>
      <c r="P2" s="28"/>
      <c r="T2" t="s">
        <v>46</v>
      </c>
    </row>
    <row r="3" spans="1:20" ht="14.4" thickBot="1" x14ac:dyDescent="0.3">
      <c r="A3" s="3">
        <v>2</v>
      </c>
      <c r="B3" s="3" t="s">
        <v>10</v>
      </c>
      <c r="C3" s="3" t="s">
        <v>16</v>
      </c>
      <c r="D3" s="7" t="b">
        <v>1</v>
      </c>
      <c r="E3" t="s">
        <v>45</v>
      </c>
    </row>
    <row r="4" spans="1:20" ht="14.4" thickBot="1" x14ac:dyDescent="0.3">
      <c r="A4" s="3">
        <v>3</v>
      </c>
      <c r="B4" s="3" t="s">
        <v>11</v>
      </c>
      <c r="C4" s="3" t="s">
        <v>15</v>
      </c>
      <c r="D4" s="7" t="b">
        <v>1</v>
      </c>
      <c r="E4" t="s">
        <v>45</v>
      </c>
      <c r="K4" s="34" t="s">
        <v>73</v>
      </c>
      <c r="L4" s="33"/>
      <c r="M4" s="33"/>
      <c r="N4" s="33"/>
      <c r="O4" s="33"/>
      <c r="P4" s="33"/>
    </row>
    <row r="5" spans="1:20" ht="14.4" thickBot="1" x14ac:dyDescent="0.3">
      <c r="A5" s="3">
        <v>4</v>
      </c>
      <c r="B5" s="3" t="s">
        <v>12</v>
      </c>
      <c r="C5" s="3" t="s">
        <v>15</v>
      </c>
      <c r="D5" s="7" t="b">
        <v>1</v>
      </c>
      <c r="E5" t="s">
        <v>45</v>
      </c>
      <c r="K5" s="33"/>
      <c r="L5" s="33"/>
      <c r="M5" s="33"/>
      <c r="N5" s="33"/>
      <c r="O5" s="33"/>
      <c r="P5" s="33"/>
    </row>
    <row r="6" spans="1:20" ht="14.4" thickBot="1" x14ac:dyDescent="0.3">
      <c r="A6" s="3">
        <v>5</v>
      </c>
      <c r="B6" s="3" t="s">
        <v>18</v>
      </c>
      <c r="C6" s="3" t="s">
        <v>17</v>
      </c>
      <c r="D6" s="7" t="b">
        <v>1</v>
      </c>
      <c r="E6" t="s">
        <v>45</v>
      </c>
      <c r="K6" s="33"/>
      <c r="L6" s="33"/>
      <c r="M6" s="33"/>
      <c r="N6" s="33"/>
      <c r="O6" s="33"/>
      <c r="P6" s="33"/>
    </row>
    <row r="7" spans="1:20" ht="14.4" thickBot="1" x14ac:dyDescent="0.3">
      <c r="A7" s="3">
        <v>6</v>
      </c>
      <c r="B7" s="3" t="s">
        <v>13</v>
      </c>
      <c r="C7" s="3" t="s">
        <v>15</v>
      </c>
      <c r="D7" s="7" t="b">
        <v>0</v>
      </c>
      <c r="E7" t="s">
        <v>43</v>
      </c>
    </row>
    <row r="8" spans="1:20" ht="14.4" thickBot="1" x14ac:dyDescent="0.3">
      <c r="A8" s="3">
        <v>7</v>
      </c>
      <c r="B8" s="3" t="s">
        <v>20</v>
      </c>
      <c r="C8" s="3" t="s">
        <v>15</v>
      </c>
      <c r="D8" s="7" t="b">
        <v>0</v>
      </c>
      <c r="E8" t="s">
        <v>43</v>
      </c>
      <c r="K8" s="34" t="s">
        <v>74</v>
      </c>
      <c r="L8" s="33"/>
      <c r="M8" s="33"/>
      <c r="N8" s="33"/>
      <c r="O8" s="33"/>
      <c r="P8" s="33"/>
    </row>
    <row r="9" spans="1:20" ht="14.4" thickBot="1" x14ac:dyDescent="0.3">
      <c r="A9" s="3">
        <v>8</v>
      </c>
      <c r="B9" s="3" t="s">
        <v>8</v>
      </c>
      <c r="C9" s="3" t="s">
        <v>15</v>
      </c>
      <c r="D9" s="7" t="b">
        <v>0</v>
      </c>
      <c r="E9" t="s">
        <v>43</v>
      </c>
      <c r="K9" s="33"/>
      <c r="L9" s="33"/>
      <c r="M9" s="33"/>
      <c r="N9" s="33"/>
      <c r="O9" s="33"/>
      <c r="P9" s="33"/>
    </row>
    <row r="10" spans="1:20" ht="14.4" thickBot="1" x14ac:dyDescent="0.3">
      <c r="A10" s="3">
        <v>9</v>
      </c>
      <c r="B10" s="3" t="s">
        <v>21</v>
      </c>
      <c r="C10" s="3" t="s">
        <v>15</v>
      </c>
      <c r="D10" s="7" t="b">
        <v>1</v>
      </c>
      <c r="E10" t="s">
        <v>43</v>
      </c>
      <c r="K10" s="33"/>
      <c r="L10" s="33"/>
      <c r="M10" s="33"/>
      <c r="N10" s="33"/>
      <c r="O10" s="33"/>
      <c r="P10" s="33"/>
    </row>
    <row r="11" spans="1:20" ht="14.4" thickBot="1" x14ac:dyDescent="0.3">
      <c r="A11" s="3">
        <v>10</v>
      </c>
      <c r="B11" s="3" t="s">
        <v>22</v>
      </c>
      <c r="C11" s="3" t="s">
        <v>15</v>
      </c>
      <c r="D11" s="7" t="b">
        <v>1</v>
      </c>
      <c r="E11" t="s">
        <v>43</v>
      </c>
      <c r="K11" s="33"/>
      <c r="L11" s="33"/>
      <c r="M11" s="33"/>
      <c r="N11" s="33"/>
      <c r="O11" s="33"/>
      <c r="P11" s="33"/>
    </row>
    <row r="12" spans="1:20" ht="14.4" thickBot="1" x14ac:dyDescent="0.3">
      <c r="A12" s="3">
        <v>11</v>
      </c>
      <c r="B12" s="3" t="s">
        <v>23</v>
      </c>
      <c r="C12" s="3" t="s">
        <v>15</v>
      </c>
      <c r="D12" s="7" t="b">
        <v>1</v>
      </c>
      <c r="E12" t="s">
        <v>43</v>
      </c>
      <c r="K12" s="33"/>
      <c r="L12" s="33"/>
      <c r="M12" s="33"/>
      <c r="N12" s="33"/>
      <c r="O12" s="33"/>
      <c r="P12" s="33"/>
    </row>
    <row r="13" spans="1:20" ht="14.4" thickBot="1" x14ac:dyDescent="0.3">
      <c r="A13" s="3">
        <v>12</v>
      </c>
      <c r="B13" s="3" t="s">
        <v>4</v>
      </c>
      <c r="C13" s="3" t="s">
        <v>15</v>
      </c>
      <c r="D13" s="7" t="b">
        <v>1</v>
      </c>
      <c r="E13" t="s">
        <v>43</v>
      </c>
      <c r="K13" s="33"/>
      <c r="L13" s="33"/>
      <c r="M13" s="33"/>
      <c r="N13" s="33"/>
      <c r="O13" s="33"/>
      <c r="P13" s="33"/>
    </row>
    <row r="14" spans="1:20" ht="14.4" thickBot="1" x14ac:dyDescent="0.3">
      <c r="A14" s="3">
        <v>13</v>
      </c>
      <c r="B14" s="3" t="s">
        <v>5</v>
      </c>
      <c r="C14" s="3" t="s">
        <v>15</v>
      </c>
      <c r="D14" s="7" t="b">
        <v>1</v>
      </c>
      <c r="E14" t="s">
        <v>43</v>
      </c>
    </row>
    <row r="15" spans="1:20" ht="14.4" thickBot="1" x14ac:dyDescent="0.3">
      <c r="A15" s="3">
        <v>14</v>
      </c>
      <c r="B15" s="3" t="s">
        <v>24</v>
      </c>
      <c r="C15" s="3" t="s">
        <v>16</v>
      </c>
      <c r="D15" s="7" t="b">
        <v>1</v>
      </c>
      <c r="E15" t="s">
        <v>45</v>
      </c>
      <c r="K15" s="34" t="s">
        <v>75</v>
      </c>
      <c r="L15" s="33"/>
      <c r="M15" s="33"/>
      <c r="N15" s="33"/>
      <c r="O15" s="33"/>
      <c r="P15" s="33"/>
    </row>
    <row r="16" spans="1:20" ht="14.4" thickBot="1" x14ac:dyDescent="0.3">
      <c r="A16" s="3">
        <v>15</v>
      </c>
      <c r="B16" s="3" t="s">
        <v>25</v>
      </c>
      <c r="C16" s="3" t="s">
        <v>16</v>
      </c>
      <c r="D16" s="7" t="b">
        <v>1</v>
      </c>
      <c r="E16" t="s">
        <v>45</v>
      </c>
      <c r="K16" s="33"/>
      <c r="L16" s="33"/>
      <c r="M16" s="33"/>
      <c r="N16" s="33"/>
      <c r="O16" s="33"/>
      <c r="P16" s="33"/>
    </row>
    <row r="17" spans="1:16" ht="14.4" thickBot="1" x14ac:dyDescent="0.3">
      <c r="A17" s="3">
        <v>16</v>
      </c>
      <c r="B17" s="3" t="s">
        <v>26</v>
      </c>
      <c r="C17" s="3" t="s">
        <v>15</v>
      </c>
      <c r="D17" s="7" t="b">
        <v>0</v>
      </c>
      <c r="K17" s="33"/>
      <c r="L17" s="33"/>
      <c r="M17" s="33"/>
      <c r="N17" s="33"/>
      <c r="O17" s="33"/>
      <c r="P17" s="33"/>
    </row>
    <row r="18" spans="1:16" ht="14.4" thickBot="1" x14ac:dyDescent="0.3">
      <c r="A18" s="3">
        <v>17</v>
      </c>
      <c r="B18" s="3" t="s">
        <v>27</v>
      </c>
      <c r="C18" s="3" t="s">
        <v>15</v>
      </c>
      <c r="D18" s="7" t="b">
        <v>0</v>
      </c>
    </row>
    <row r="19" spans="1:16" ht="14.4" thickBot="1" x14ac:dyDescent="0.3">
      <c r="A19" s="3">
        <v>18</v>
      </c>
      <c r="B19" s="3" t="s">
        <v>28</v>
      </c>
      <c r="C19" s="3" t="s">
        <v>15</v>
      </c>
      <c r="D19" s="7" t="b">
        <v>0</v>
      </c>
    </row>
    <row r="20" spans="1:16" ht="14.4" thickBot="1" x14ac:dyDescent="0.3">
      <c r="A20" s="3">
        <v>19</v>
      </c>
      <c r="B20" s="3" t="s">
        <v>9</v>
      </c>
      <c r="C20" s="3" t="s">
        <v>15</v>
      </c>
      <c r="D20" s="7" t="b">
        <v>0</v>
      </c>
    </row>
    <row r="21" spans="1:16" ht="14.4" thickBot="1" x14ac:dyDescent="0.3">
      <c r="A21" s="3">
        <v>20</v>
      </c>
      <c r="B21" s="3" t="s">
        <v>29</v>
      </c>
      <c r="C21" s="3" t="s">
        <v>15</v>
      </c>
      <c r="D21" s="7" t="b">
        <v>0</v>
      </c>
    </row>
    <row r="22" spans="1:16" ht="14.4" thickBot="1" x14ac:dyDescent="0.3">
      <c r="A22" s="3">
        <v>21</v>
      </c>
      <c r="B22" s="3" t="s">
        <v>6</v>
      </c>
      <c r="C22" s="3" t="s">
        <v>17</v>
      </c>
      <c r="D22" s="7" t="b">
        <v>0</v>
      </c>
    </row>
    <row r="23" spans="1:16" ht="14.4" thickBot="1" x14ac:dyDescent="0.3">
      <c r="A23" s="3">
        <v>22</v>
      </c>
      <c r="B23" s="3" t="s">
        <v>30</v>
      </c>
      <c r="C23" s="3" t="s">
        <v>17</v>
      </c>
      <c r="D23" s="7" t="b">
        <v>0</v>
      </c>
    </row>
    <row r="24" spans="1:16" ht="14.4" thickBot="1" x14ac:dyDescent="0.3">
      <c r="A24" s="3">
        <v>23</v>
      </c>
      <c r="B24" s="3" t="s">
        <v>31</v>
      </c>
      <c r="C24" s="3" t="s">
        <v>17</v>
      </c>
      <c r="D24" s="7" t="b">
        <v>0</v>
      </c>
    </row>
    <row r="25" spans="1:16" ht="14.4" thickBot="1" x14ac:dyDescent="0.3">
      <c r="A25" s="3">
        <v>24</v>
      </c>
      <c r="B25" s="3" t="s">
        <v>32</v>
      </c>
      <c r="C25" s="3" t="s">
        <v>15</v>
      </c>
      <c r="D25" s="7" t="b">
        <v>0</v>
      </c>
    </row>
    <row r="26" spans="1:16" ht="14.4" thickBot="1" x14ac:dyDescent="0.3">
      <c r="A26" s="3">
        <v>25</v>
      </c>
      <c r="B26" s="3" t="s">
        <v>33</v>
      </c>
      <c r="C26" s="3" t="s">
        <v>17</v>
      </c>
      <c r="D26" s="7" t="b">
        <v>0</v>
      </c>
    </row>
    <row r="27" spans="1:16" ht="14.4" thickBot="1" x14ac:dyDescent="0.3">
      <c r="A27" s="3">
        <v>26</v>
      </c>
      <c r="B27" s="3" t="s">
        <v>34</v>
      </c>
      <c r="C27" s="3" t="s">
        <v>16</v>
      </c>
      <c r="D27" s="7" t="b">
        <v>0</v>
      </c>
    </row>
    <row r="28" spans="1:16" ht="14.4" thickBot="1" x14ac:dyDescent="0.3">
      <c r="A28" s="3">
        <v>27</v>
      </c>
      <c r="B28" s="3" t="s">
        <v>7</v>
      </c>
      <c r="C28" s="3" t="s">
        <v>17</v>
      </c>
      <c r="D28" s="7" t="b">
        <v>0</v>
      </c>
    </row>
    <row r="29" spans="1:16" ht="14.4" thickBot="1" x14ac:dyDescent="0.3">
      <c r="A29" s="3">
        <v>28</v>
      </c>
      <c r="B29" s="3" t="s">
        <v>35</v>
      </c>
      <c r="C29" s="3" t="s">
        <v>16</v>
      </c>
      <c r="D29" s="7" t="b">
        <v>0</v>
      </c>
    </row>
    <row r="30" spans="1:16" ht="14.4" thickBot="1" x14ac:dyDescent="0.3">
      <c r="A30" s="3">
        <v>29</v>
      </c>
      <c r="B30" s="3" t="s">
        <v>36</v>
      </c>
      <c r="C30" s="3" t="s">
        <v>15</v>
      </c>
      <c r="D30" s="7" t="b">
        <v>0</v>
      </c>
    </row>
    <row r="31" spans="1:16" ht="14.4" thickBot="1" x14ac:dyDescent="0.3">
      <c r="A31" s="3">
        <v>30</v>
      </c>
      <c r="B31" s="3" t="s">
        <v>37</v>
      </c>
      <c r="C31" s="3" t="s">
        <v>15</v>
      </c>
      <c r="D31" s="7" t="b">
        <v>0</v>
      </c>
    </row>
    <row r="32" spans="1:16" ht="14.4" thickBot="1" x14ac:dyDescent="0.3">
      <c r="A32" s="3">
        <v>31</v>
      </c>
      <c r="B32" s="3" t="s">
        <v>19</v>
      </c>
      <c r="C32" s="3" t="s">
        <v>15</v>
      </c>
      <c r="D32" s="7" t="b">
        <v>0</v>
      </c>
    </row>
    <row r="33" spans="1:4" ht="14.4" thickBot="1" x14ac:dyDescent="0.3">
      <c r="A33" s="3">
        <v>32</v>
      </c>
      <c r="B33" s="3" t="s">
        <v>38</v>
      </c>
      <c r="C33" s="3" t="s">
        <v>15</v>
      </c>
      <c r="D33" s="7" t="b">
        <v>0</v>
      </c>
    </row>
  </sheetData>
  <autoFilter ref="C1:G1" xr:uid="{6F51686B-6102-41C9-BEB8-62DA12112A09}"/>
  <mergeCells count="4">
    <mergeCell ref="K1:P2"/>
    <mergeCell ref="K4:P6"/>
    <mergeCell ref="K8:P13"/>
    <mergeCell ref="K15:P17"/>
  </mergeCells>
  <phoneticPr fontId="2" type="noConversion"/>
  <dataValidations count="1">
    <dataValidation type="list" allowBlank="1" showInputMessage="1" showErrorMessage="1" sqref="E2:E33" xr:uid="{A2E0FAE8-552A-4E30-8E43-37B76BD7BBD3}">
      <formula1>$T$1:$T$2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多维度数据透视分析</vt:lpstr>
      <vt:lpstr>经营看板</vt:lpstr>
      <vt:lpstr>全学员总表</vt:lpstr>
      <vt:lpstr>年度月度经营汇总表</vt:lpstr>
      <vt:lpstr>学生情况报表</vt:lpstr>
      <vt:lpstr>学生基本信息</vt:lpstr>
      <vt:lpstr>续费情况</vt:lpstr>
      <vt:lpstr>学生考级成绩</vt:lpstr>
      <vt:lpstr>2025全国青少年信息素养大赛</vt:lpstr>
      <vt:lpstr>全国青少年人工智能创新挑战赛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2026-06-11T19:19:57Z</dcterms:modified>
</cp:coreProperties>
</file>